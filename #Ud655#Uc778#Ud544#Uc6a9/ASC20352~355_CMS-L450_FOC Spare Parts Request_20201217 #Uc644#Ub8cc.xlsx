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최윤석\최윤석 발주\1.발주\AC\1. FOC\2020\"/>
    </mc:Choice>
  </mc:AlternateContent>
  <bookViews>
    <workbookView xWindow="0" yWindow="0" windowWidth="10695" windowHeight="11925"/>
  </bookViews>
  <sheets>
    <sheet name="CMS-L400" sheetId="1" r:id="rId1"/>
  </sheets>
  <calcPr calcId="162913"/>
</workbook>
</file>

<file path=xl/calcChain.xml><?xml version="1.0" encoding="utf-8"?>
<calcChain xmlns="http://schemas.openxmlformats.org/spreadsheetml/2006/main">
  <c r="G10" i="1" l="1"/>
  <c r="G7" i="1" l="1"/>
  <c r="G8" i="1" l="1"/>
  <c r="E19" i="1"/>
  <c r="G6" i="1"/>
  <c r="G9" i="1"/>
  <c r="G11" i="1"/>
  <c r="G12" i="1"/>
  <c r="G13" i="1"/>
  <c r="G14" i="1"/>
  <c r="G15" i="1"/>
  <c r="G16" i="1"/>
  <c r="G17" i="1"/>
  <c r="G18" i="1"/>
  <c r="G5" i="1"/>
  <c r="G19" i="1" l="1"/>
</calcChain>
</file>

<file path=xl/sharedStrings.xml><?xml version="1.0" encoding="utf-8"?>
<sst xmlns="http://schemas.openxmlformats.org/spreadsheetml/2006/main" count="39" uniqueCount="39">
  <si>
    <t>NO</t>
  </si>
  <si>
    <t xml:space="preserve">PART NAME </t>
  </si>
  <si>
    <t xml:space="preserve">PART NAME(korean) </t>
  </si>
  <si>
    <t>IMAGE</t>
  </si>
  <si>
    <t>Price(USD)</t>
  </si>
  <si>
    <t>QTY(PCS)</t>
  </si>
  <si>
    <t>Total</t>
  </si>
  <si>
    <t>PCB, 리모컨, L400</t>
  </si>
  <si>
    <t>PCB, Main, L450</t>
    <phoneticPr fontId="32" type="noConversion"/>
  </si>
  <si>
    <t>PCB, Remocon, L450</t>
    <phoneticPr fontId="32" type="noConversion"/>
  </si>
  <si>
    <t>Remocon, L450</t>
    <phoneticPr fontId="32" type="noConversion"/>
  </si>
  <si>
    <t>Massage Wheel Assy with Motor, L450</t>
    <phoneticPr fontId="32" type="noConversion"/>
  </si>
  <si>
    <t>Cushion Frame Assy, Backrest, L450</t>
    <phoneticPr fontId="32" type="noConversion"/>
  </si>
  <si>
    <r>
      <t>Cable Assy with Connector, Backrest, L4</t>
    </r>
    <r>
      <rPr>
        <sz val="11"/>
        <color theme="1"/>
        <rFont val="굴림"/>
        <family val="3"/>
        <charset val="129"/>
      </rPr>
      <t>5</t>
    </r>
    <r>
      <rPr>
        <sz val="11"/>
        <color theme="1"/>
        <rFont val="굴림"/>
        <family val="3"/>
        <charset val="129"/>
      </rPr>
      <t>0</t>
    </r>
    <phoneticPr fontId="32" type="noConversion"/>
  </si>
  <si>
    <t>Pad, Pillow, L450</t>
    <phoneticPr fontId="32" type="noConversion"/>
  </si>
  <si>
    <t>Pad, Back, L450</t>
    <phoneticPr fontId="32" type="noConversion"/>
  </si>
  <si>
    <t>Side Board, L, L450</t>
    <phoneticPr fontId="32" type="noConversion"/>
  </si>
  <si>
    <t>Side Board, R, L450</t>
    <phoneticPr fontId="32" type="noConversion"/>
  </si>
  <si>
    <t>Legrest, L450</t>
    <phoneticPr fontId="32" type="noConversion"/>
  </si>
  <si>
    <t>Side Inner Board , L, L450</t>
    <phoneticPr fontId="32" type="noConversion"/>
  </si>
  <si>
    <t>Side Inner Board ,R, L450</t>
    <phoneticPr fontId="32" type="noConversion"/>
  </si>
  <si>
    <t>Inner Cloth Cover, Calves, L450</t>
    <phoneticPr fontId="32" type="noConversion"/>
  </si>
  <si>
    <t>속천, 종아리, 좌우세트, L450</t>
    <phoneticPr fontId="32" type="noConversion"/>
  </si>
  <si>
    <t>다리부 유닛, L450</t>
    <phoneticPr fontId="32" type="noConversion"/>
  </si>
  <si>
    <t>옆판, R, L450</t>
    <phoneticPr fontId="32" type="noConversion"/>
  </si>
  <si>
    <t>PCB, 메인, L450</t>
    <phoneticPr fontId="32" type="noConversion"/>
  </si>
  <si>
    <t>PCB, 리모컨, L450</t>
    <phoneticPr fontId="32" type="noConversion"/>
  </si>
  <si>
    <t>리모컨, L450</t>
    <phoneticPr fontId="32" type="noConversion"/>
  </si>
  <si>
    <t>마사지 휠 어셈블리, L450</t>
    <phoneticPr fontId="32" type="noConversion"/>
  </si>
  <si>
    <t>속천, 등, L450</t>
    <phoneticPr fontId="32" type="noConversion"/>
  </si>
  <si>
    <r>
      <t>케이블, 등, 하네스, L4</t>
    </r>
    <r>
      <rPr>
        <sz val="11"/>
        <rFont val="굴림"/>
        <family val="3"/>
        <charset val="129"/>
      </rPr>
      <t>5</t>
    </r>
    <r>
      <rPr>
        <sz val="11"/>
        <rFont val="굴림"/>
        <family val="3"/>
        <charset val="129"/>
      </rPr>
      <t>0</t>
    </r>
    <phoneticPr fontId="32" type="noConversion"/>
  </si>
  <si>
    <t>패드, 베개, L450</t>
    <phoneticPr fontId="32" type="noConversion"/>
  </si>
  <si>
    <t>패드, 등, L450</t>
    <phoneticPr fontId="32" type="noConversion"/>
  </si>
  <si>
    <t>옆판, L, L450</t>
    <phoneticPr fontId="32" type="noConversion"/>
  </si>
  <si>
    <t>옆판 (안) 좌, L450</t>
    <phoneticPr fontId="32" type="noConversion"/>
  </si>
  <si>
    <t>옆판 (안) 우, L450</t>
    <phoneticPr fontId="32" type="noConversion"/>
  </si>
  <si>
    <r>
      <t xml:space="preserve">Order No.: ASC20352~355 Model No.: CMS-L450 * 4CONT (280PCS) </t>
    </r>
    <r>
      <rPr>
        <b/>
        <sz val="11"/>
        <color rgb="FFFF0000"/>
        <rFont val="굴림"/>
        <family val="3"/>
        <charset val="129"/>
      </rPr>
      <t>($373.5*280*2%=$2,091)</t>
    </r>
    <phoneticPr fontId="32" type="noConversion"/>
  </si>
  <si>
    <t>ASC20352~355</t>
    <phoneticPr fontId="32" type="noConversion"/>
  </si>
  <si>
    <t>_FOC Spare Parts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</si>
</sst>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_ ;_ * \-#,##0_ ;_ * &quot;-&quot;_ ;_ @_ "/>
    <numFmt numFmtId="177" formatCode="\$#,##0.00;\-\$#,##0.00"/>
    <numFmt numFmtId="178" formatCode="_-[$$-409]* #,##0.00_ ;_-[$$-409]* \-#,##0.00\ ;_-[$$-409]* &quot;-&quot;??_ ;_-@_ "/>
    <numFmt numFmtId="179" formatCode="\$#,##0.00"/>
  </numFmts>
  <fonts count="36">
    <font>
      <sz val="11"/>
      <color theme="1"/>
      <name val="맑은 고딕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1"/>
      <color theme="1"/>
      <name val="맑은 고딕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sz val="9"/>
      <name val="宋体"/>
    </font>
    <font>
      <sz val="11"/>
      <color theme="1"/>
      <name val="宋体"/>
    </font>
    <font>
      <b/>
      <sz val="11"/>
      <color indexed="5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2"/>
      <name val="宋体"/>
    </font>
    <font>
      <sz val="11"/>
      <name val="돋움"/>
      <family val="3"/>
      <charset val="129"/>
    </font>
    <font>
      <sz val="12"/>
      <name val="宋体"/>
    </font>
    <font>
      <sz val="11"/>
      <color indexed="10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Arial"/>
      <family val="2"/>
    </font>
    <font>
      <b/>
      <sz val="11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sz val="9"/>
      <name val="Arial"/>
      <family val="2"/>
    </font>
    <font>
      <u/>
      <sz val="15.95"/>
      <color theme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name val="굴림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026">
    <xf numFmtId="0" fontId="0" fillId="0" borderId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1" fillId="0" borderId="0"/>
    <xf numFmtId="176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31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2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14" fillId="18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/>
    <xf numFmtId="0" fontId="31" fillId="0" borderId="0">
      <alignment vertical="center"/>
    </xf>
    <xf numFmtId="0" fontId="14" fillId="20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9" fillId="22" borderId="0" applyNumberFormat="0" applyBorder="0" applyAlignment="0" applyProtection="0">
      <alignment vertical="center"/>
    </xf>
    <xf numFmtId="176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31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5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31" fillId="0" borderId="0">
      <alignment vertical="center"/>
    </xf>
    <xf numFmtId="0" fontId="9" fillId="22" borderId="0" applyNumberFormat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2" borderId="4" applyNumberForma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1" fillId="0" borderId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/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4" borderId="5" applyNumberFormat="0" applyFont="0" applyAlignment="0" applyProtection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4" borderId="5" applyNumberFormat="0" applyFont="0" applyAlignment="0" applyProtection="0">
      <alignment vertical="center"/>
    </xf>
    <xf numFmtId="0" fontId="31" fillId="0" borderId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0" borderId="0"/>
    <xf numFmtId="0" fontId="17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23" borderId="7" applyNumberFormat="0" applyAlignment="0" applyProtection="0">
      <alignment vertical="center"/>
    </xf>
    <xf numFmtId="41" fontId="21" fillId="0" borderId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1" fontId="21" fillId="0" borderId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1" fillId="0" borderId="0"/>
    <xf numFmtId="176" fontId="10" fillId="0" borderId="0" applyFont="0" applyFill="0" applyBorder="0" applyAlignment="0" applyProtection="0">
      <alignment vertical="center"/>
    </xf>
    <xf numFmtId="0" fontId="11" fillId="0" borderId="0"/>
    <xf numFmtId="176" fontId="10" fillId="0" borderId="0" applyFont="0" applyFill="0" applyBorder="0" applyAlignment="0" applyProtection="0">
      <alignment vertical="center"/>
    </xf>
    <xf numFmtId="0" fontId="11" fillId="0" borderId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/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/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/>
    <xf numFmtId="0" fontId="31" fillId="0" borderId="0">
      <alignment vertical="center"/>
    </xf>
    <xf numFmtId="176" fontId="10" fillId="0" borderId="0" applyFont="0" applyFill="0" applyBorder="0" applyAlignment="0" applyProtection="0"/>
    <xf numFmtId="0" fontId="31" fillId="0" borderId="0">
      <alignment vertical="center"/>
    </xf>
    <xf numFmtId="176" fontId="10" fillId="0" borderId="0" applyFont="0" applyFill="0" applyBorder="0" applyAlignment="0" applyProtection="0"/>
    <xf numFmtId="0" fontId="31" fillId="0" borderId="0">
      <alignment vertical="center"/>
    </xf>
    <xf numFmtId="176" fontId="10" fillId="0" borderId="0" applyFont="0" applyFill="0" applyBorder="0" applyAlignment="0" applyProtection="0"/>
    <xf numFmtId="0" fontId="31" fillId="0" borderId="0">
      <alignment vertical="center"/>
    </xf>
    <xf numFmtId="176" fontId="10" fillId="0" borderId="0" applyFont="0" applyFill="0" applyBorder="0" applyAlignment="0" applyProtection="0"/>
    <xf numFmtId="0" fontId="31" fillId="0" borderId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4" fillId="0" borderId="10" applyNumberFormat="0" applyFill="0" applyAlignment="0" applyProtection="0">
      <alignment vertical="center"/>
    </xf>
    <xf numFmtId="0" fontId="31" fillId="0" borderId="0">
      <alignment vertical="center"/>
    </xf>
    <xf numFmtId="0" fontId="27" fillId="14" borderId="4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8" fillId="0" borderId="12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1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5" fillId="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6" fillId="2" borderId="11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/>
    <xf numFmtId="0" fontId="1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31" fillId="0" borderId="0">
      <alignment vertical="center"/>
    </xf>
    <xf numFmtId="0" fontId="31" fillId="0" borderId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31" fillId="0" borderId="0" applyFont="0" applyFill="0" applyBorder="0" applyAlignment="0" applyProtection="0">
      <alignment vertical="center"/>
    </xf>
    <xf numFmtId="41" fontId="21" fillId="0" borderId="0" applyFill="0" applyBorder="0" applyAlignment="0" applyProtection="0"/>
    <xf numFmtId="41" fontId="21" fillId="0" borderId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  <xf numFmtId="177" fontId="6" fillId="0" borderId="3" xfId="702" applyNumberFormat="1" applyFont="1" applyFill="1" applyBorder="1" applyAlignment="1">
      <alignment horizontal="right" vertical="center"/>
    </xf>
    <xf numFmtId="178" fontId="1" fillId="0" borderId="14" xfId="0" applyNumberFormat="1" applyFont="1" applyFill="1" applyBorder="1">
      <alignment vertical="center"/>
    </xf>
    <xf numFmtId="179" fontId="1" fillId="0" borderId="14" xfId="0" applyNumberFormat="1" applyFont="1" applyFill="1" applyBorder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5" fillId="0" borderId="3" xfId="10" applyNumberFormat="1" applyFont="1" applyFill="1" applyBorder="1" applyAlignment="1">
      <alignment horizontal="center" vertical="center"/>
    </xf>
    <xf numFmtId="179" fontId="2" fillId="0" borderId="3" xfId="0" applyNumberFormat="1" applyFont="1" applyFill="1" applyBorder="1" applyAlignment="1">
      <alignment horizontal="center" vertical="center"/>
    </xf>
    <xf numFmtId="0" fontId="1" fillId="0" borderId="14" xfId="0" applyFont="1" applyFill="1" applyBorder="1">
      <alignment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6" fillId="0" borderId="3" xfId="739" applyNumberFormat="1" applyFont="1" applyFill="1" applyBorder="1" applyAlignment="1">
      <alignment horizontal="right" vertical="center" wrapText="1"/>
    </xf>
    <xf numFmtId="0" fontId="1" fillId="0" borderId="3" xfId="0" applyFont="1" applyFill="1" applyBorder="1">
      <alignment vertical="center"/>
    </xf>
    <xf numFmtId="0" fontId="1" fillId="0" borderId="0" xfId="0" applyFont="1">
      <alignment vertical="center"/>
    </xf>
    <xf numFmtId="41" fontId="4" fillId="0" borderId="2" xfId="10" applyFont="1" applyFill="1" applyBorder="1" applyAlignment="1" applyProtection="1">
      <alignment horizontal="center" vertical="center"/>
    </xf>
    <xf numFmtId="0" fontId="4" fillId="0" borderId="13" xfId="778" applyNumberFormat="1" applyFont="1" applyFill="1" applyBorder="1" applyAlignment="1">
      <alignment horizontal="center" vertical="center" wrapText="1"/>
    </xf>
    <xf numFmtId="178" fontId="4" fillId="0" borderId="13" xfId="778" applyNumberFormat="1" applyFont="1" applyFill="1" applyBorder="1" applyAlignment="1">
      <alignment horizontal="center" vertical="center" wrapText="1"/>
    </xf>
    <xf numFmtId="0" fontId="4" fillId="0" borderId="1" xfId="778" applyNumberFormat="1" applyFont="1" applyFill="1" applyBorder="1" applyAlignment="1">
      <alignment horizontal="center" vertical="center"/>
    </xf>
    <xf numFmtId="41" fontId="5" fillId="0" borderId="3" xfId="10" applyFont="1" applyFill="1" applyBorder="1" applyAlignment="1">
      <alignment horizontal="left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1" fillId="0" borderId="14" xfId="0" applyFont="1" applyFill="1" applyBorder="1">
      <alignment vertical="center"/>
    </xf>
    <xf numFmtId="0" fontId="7" fillId="0" borderId="14" xfId="0" applyFont="1" applyFill="1" applyBorder="1">
      <alignment vertical="center"/>
    </xf>
    <xf numFmtId="177" fontId="6" fillId="0" borderId="14" xfId="739" applyNumberFormat="1" applyFont="1" applyFill="1" applyBorder="1" applyAlignment="1">
      <alignment horizontal="right" vertical="center" wrapText="1"/>
    </xf>
    <xf numFmtId="0" fontId="5" fillId="0" borderId="14" xfId="1024" applyNumberFormat="1" applyFont="1" applyFill="1" applyBorder="1" applyAlignment="1">
      <alignment horizontal="center" vertical="center"/>
    </xf>
    <xf numFmtId="0" fontId="5" fillId="0" borderId="14" xfId="10" applyNumberFormat="1" applyFont="1" applyFill="1" applyBorder="1" applyAlignment="1">
      <alignment horizontal="center" vertical="center"/>
    </xf>
    <xf numFmtId="41" fontId="5" fillId="0" borderId="14" xfId="10" applyFont="1" applyFill="1" applyBorder="1" applyAlignment="1">
      <alignment horizontal="left" vertical="center"/>
    </xf>
    <xf numFmtId="0" fontId="1" fillId="0" borderId="14" xfId="0" applyFont="1" applyBorder="1">
      <alignment vertical="center"/>
    </xf>
    <xf numFmtId="0" fontId="5" fillId="0" borderId="14" xfId="1020" applyNumberFormat="1" applyFont="1" applyFill="1" applyBorder="1" applyAlignment="1">
      <alignment horizontal="center" vertical="center"/>
    </xf>
    <xf numFmtId="0" fontId="1" fillId="0" borderId="14" xfId="304" applyFont="1" applyBorder="1">
      <alignment vertical="center"/>
    </xf>
    <xf numFmtId="41" fontId="5" fillId="0" borderId="14" xfId="1020" applyFont="1" applyFill="1" applyBorder="1" applyAlignment="1">
      <alignment horizontal="left" vertical="center"/>
    </xf>
    <xf numFmtId="177" fontId="6" fillId="0" borderId="14" xfId="739" applyNumberFormat="1" applyFont="1" applyBorder="1" applyAlignment="1">
      <alignment horizontal="right" vertical="center" wrapText="1"/>
    </xf>
    <xf numFmtId="0" fontId="1" fillId="0" borderId="14" xfId="304" applyFont="1" applyBorder="1">
      <alignment vertical="center"/>
    </xf>
    <xf numFmtId="41" fontId="5" fillId="0" borderId="14" xfId="1024" applyFont="1" applyFill="1" applyBorder="1" applyAlignment="1">
      <alignment horizontal="left" vertical="center" wrapText="1"/>
    </xf>
    <xf numFmtId="177" fontId="6" fillId="0" borderId="14" xfId="739" applyNumberFormat="1" applyFont="1" applyBorder="1" applyAlignment="1">
      <alignment horizontal="right" vertical="center" wrapText="1"/>
    </xf>
    <xf numFmtId="41" fontId="5" fillId="0" borderId="3" xfId="1024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center" vertical="center"/>
    </xf>
    <xf numFmtId="179" fontId="2" fillId="0" borderId="14" xfId="0" applyNumberFormat="1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41" fontId="35" fillId="0" borderId="14" xfId="1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34" fillId="0" borderId="0" xfId="0" applyFont="1" applyFill="1">
      <alignment vertical="center"/>
    </xf>
    <xf numFmtId="0" fontId="35" fillId="0" borderId="14" xfId="10" applyNumberFormat="1" applyFont="1" applyFill="1" applyBorder="1" applyAlignment="1">
      <alignment horizontal="center" vertical="center"/>
    </xf>
    <xf numFmtId="14" fontId="3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14" fontId="2" fillId="0" borderId="15" xfId="0" applyNumberFormat="1" applyFont="1" applyFill="1" applyBorder="1" applyAlignment="1">
      <alignment vertical="center"/>
    </xf>
  </cellXfs>
  <cellStyles count="1026">
    <cellStyle name="20% - 강조색1 2" xfId="52"/>
    <cellStyle name="20% - 강조색2 2" xfId="55"/>
    <cellStyle name="20% - 강조색3 2" xfId="18"/>
    <cellStyle name="20% - 강조색4 2" xfId="51"/>
    <cellStyle name="20% - 강조색5 2" xfId="48"/>
    <cellStyle name="20% - 강조색6 2" xfId="57"/>
    <cellStyle name="40% - 강조색1 2" xfId="61"/>
    <cellStyle name="40% - 강조색2 2" xfId="63"/>
    <cellStyle name="40% - 강조색3 2" xfId="64"/>
    <cellStyle name="40% - 강조색4 2" xfId="65"/>
    <cellStyle name="40% - 강조색5 2" xfId="45"/>
    <cellStyle name="40% - 강조색6 2" xfId="8"/>
    <cellStyle name="60% - 강조색1 2" xfId="42"/>
    <cellStyle name="60% - 강조색2 2" xfId="69"/>
    <cellStyle name="60% - 강조색3 2" xfId="39"/>
    <cellStyle name="60% - 강조색4 2" xfId="3"/>
    <cellStyle name="60% - 강조색5 2" xfId="72"/>
    <cellStyle name="60% - 강조색6 2" xfId="20"/>
    <cellStyle name="강조색1 2" xfId="50"/>
    <cellStyle name="강조색2 2" xfId="59"/>
    <cellStyle name="강조색3 2" xfId="73"/>
    <cellStyle name="강조색4 2" xfId="74"/>
    <cellStyle name="강조색5 2" xfId="75"/>
    <cellStyle name="강조색6 2" xfId="79"/>
    <cellStyle name="경고문 2" xfId="81"/>
    <cellStyle name="계산 2" xfId="85"/>
    <cellStyle name="나쁨 2" xfId="86"/>
    <cellStyle name="메모 2" xfId="88"/>
    <cellStyle name="메모 2 10" xfId="90"/>
    <cellStyle name="메모 2 11" xfId="91"/>
    <cellStyle name="메모 2 12" xfId="92"/>
    <cellStyle name="메모 2 13" xfId="93"/>
    <cellStyle name="메모 2 13 2" xfId="797"/>
    <cellStyle name="메모 2 13 3" xfId="922"/>
    <cellStyle name="메모 2 13 4" xfId="957"/>
    <cellStyle name="메모 2 14" xfId="94"/>
    <cellStyle name="메모 2 14 2" xfId="798"/>
    <cellStyle name="메모 2 14 3" xfId="920"/>
    <cellStyle name="메모 2 14 4" xfId="958"/>
    <cellStyle name="메모 2 15" xfId="95"/>
    <cellStyle name="메모 2 15 2" xfId="799"/>
    <cellStyle name="메모 2 15 3" xfId="918"/>
    <cellStyle name="메모 2 15 4" xfId="959"/>
    <cellStyle name="메모 2 16" xfId="97"/>
    <cellStyle name="메모 2 16 2" xfId="801"/>
    <cellStyle name="메모 2 16 3" xfId="914"/>
    <cellStyle name="메모 2 16 4" xfId="961"/>
    <cellStyle name="메모 2 17" xfId="99"/>
    <cellStyle name="메모 2 17 2" xfId="803"/>
    <cellStyle name="메모 2 17 3" xfId="921"/>
    <cellStyle name="메모 2 17 4" xfId="963"/>
    <cellStyle name="메모 2 18" xfId="100"/>
    <cellStyle name="메모 2 18 2" xfId="804"/>
    <cellStyle name="메모 2 18 3" xfId="919"/>
    <cellStyle name="메모 2 18 4" xfId="964"/>
    <cellStyle name="메모 2 19" xfId="101"/>
    <cellStyle name="메모 2 19 2" xfId="805"/>
    <cellStyle name="메모 2 19 3" xfId="917"/>
    <cellStyle name="메모 2 19 4" xfId="965"/>
    <cellStyle name="메모 2 2" xfId="102"/>
    <cellStyle name="메모 2 2 10" xfId="107"/>
    <cellStyle name="메모 2 2 11" xfId="112"/>
    <cellStyle name="메모 2 2 12" xfId="806"/>
    <cellStyle name="메모 2 2 13" xfId="915"/>
    <cellStyle name="메모 2 2 14" xfId="966"/>
    <cellStyle name="메모 2 2 2" xfId="70"/>
    <cellStyle name="메모 2 2 3" xfId="114"/>
    <cellStyle name="메모 2 2 4" xfId="116"/>
    <cellStyle name="메모 2 2 5" xfId="118"/>
    <cellStyle name="메모 2 2 6" xfId="120"/>
    <cellStyle name="메모 2 2 7" xfId="122"/>
    <cellStyle name="메모 2 2 8" xfId="124"/>
    <cellStyle name="메모 2 2 9" xfId="126"/>
    <cellStyle name="메모 2 20" xfId="96"/>
    <cellStyle name="메모 2 20 2" xfId="800"/>
    <cellStyle name="메모 2 20 3" xfId="916"/>
    <cellStyle name="메모 2 20 4" xfId="960"/>
    <cellStyle name="메모 2 21" xfId="98"/>
    <cellStyle name="메모 2 21 2" xfId="802"/>
    <cellStyle name="메모 2 21 3" xfId="912"/>
    <cellStyle name="메모 2 21 4" xfId="962"/>
    <cellStyle name="메모 2 3" xfId="128"/>
    <cellStyle name="메모 2 4" xfId="130"/>
    <cellStyle name="메모 2 5" xfId="132"/>
    <cellStyle name="메모 2 6" xfId="1"/>
    <cellStyle name="메모 2 7" xfId="134"/>
    <cellStyle name="메모 2 8" xfId="136"/>
    <cellStyle name="메모 2 9" xfId="137"/>
    <cellStyle name="보통 2" xfId="139"/>
    <cellStyle name="설명 텍스트 2" xfId="142"/>
    <cellStyle name="셀 확인 2" xfId="143"/>
    <cellStyle name="쉼표 [0]" xfId="10" builtinId="6"/>
    <cellStyle name="쉼표 [0] 2" xfId="66"/>
    <cellStyle name="쉼표 [0] 2 2" xfId="144"/>
    <cellStyle name="쉼표 [0] 2 2 10" xfId="145"/>
    <cellStyle name="쉼표 [0] 2 2 11" xfId="147"/>
    <cellStyle name="쉼표 [0] 2 2 12" xfId="149"/>
    <cellStyle name="쉼표 [0] 2 2 13" xfId="151"/>
    <cellStyle name="쉼표 [0] 2 2 13 2" xfId="808"/>
    <cellStyle name="쉼표 [0] 2 2 13 3" xfId="911"/>
    <cellStyle name="쉼표 [0] 2 2 13 4" xfId="968"/>
    <cellStyle name="쉼표 [0] 2 2 14" xfId="153"/>
    <cellStyle name="쉼표 [0] 2 2 14 2" xfId="809"/>
    <cellStyle name="쉼표 [0] 2 2 14 3" xfId="910"/>
    <cellStyle name="쉼표 [0] 2 2 14 4" xfId="969"/>
    <cellStyle name="쉼표 [0] 2 2 15" xfId="156"/>
    <cellStyle name="쉼표 [0] 2 2 15 2" xfId="810"/>
    <cellStyle name="쉼표 [0] 2 2 15 3" xfId="909"/>
    <cellStyle name="쉼표 [0] 2 2 15 4" xfId="970"/>
    <cellStyle name="쉼표 [0] 2 2 16" xfId="159"/>
    <cellStyle name="쉼표 [0] 2 2 16 2" xfId="812"/>
    <cellStyle name="쉼표 [0] 2 2 16 3" xfId="907"/>
    <cellStyle name="쉼표 [0] 2 2 16 4" xfId="972"/>
    <cellStyle name="쉼표 [0] 2 2 17" xfId="161"/>
    <cellStyle name="쉼표 [0] 2 2 17 2" xfId="814"/>
    <cellStyle name="쉼표 [0] 2 2 17 3" xfId="905"/>
    <cellStyle name="쉼표 [0] 2 2 17 4" xfId="974"/>
    <cellStyle name="쉼표 [0] 2 2 18" xfId="162"/>
    <cellStyle name="쉼표 [0] 2 2 18 2" xfId="815"/>
    <cellStyle name="쉼표 [0] 2 2 18 3" xfId="904"/>
    <cellStyle name="쉼표 [0] 2 2 18 4" xfId="975"/>
    <cellStyle name="쉼표 [0] 2 2 19" xfId="163"/>
    <cellStyle name="쉼표 [0] 2 2 19 2" xfId="816"/>
    <cellStyle name="쉼표 [0] 2 2 19 3" xfId="903"/>
    <cellStyle name="쉼표 [0] 2 2 19 4" xfId="976"/>
    <cellStyle name="쉼표 [0] 2 2 2" xfId="164"/>
    <cellStyle name="쉼표 [0] 2 2 2 10" xfId="165"/>
    <cellStyle name="쉼표 [0] 2 2 2 11" xfId="167"/>
    <cellStyle name="쉼표 [0] 2 2 2 12" xfId="817"/>
    <cellStyle name="쉼표 [0] 2 2 2 13" xfId="902"/>
    <cellStyle name="쉼표 [0] 2 2 2 14" xfId="977"/>
    <cellStyle name="쉼표 [0] 2 2 2 2" xfId="169"/>
    <cellStyle name="쉼표 [0] 2 2 2 3" xfId="146"/>
    <cellStyle name="쉼표 [0] 2 2 2 4" xfId="148"/>
    <cellStyle name="쉼표 [0] 2 2 2 5" xfId="150"/>
    <cellStyle name="쉼표 [0] 2 2 2 6" xfId="152"/>
    <cellStyle name="쉼표 [0] 2 2 2 7" xfId="154"/>
    <cellStyle name="쉼표 [0] 2 2 2 8" xfId="155"/>
    <cellStyle name="쉼표 [0] 2 2 2 9" xfId="158"/>
    <cellStyle name="쉼표 [0] 2 2 20" xfId="157"/>
    <cellStyle name="쉼표 [0] 2 2 20 2" xfId="811"/>
    <cellStyle name="쉼표 [0] 2 2 20 3" xfId="908"/>
    <cellStyle name="쉼표 [0] 2 2 20 4" xfId="971"/>
    <cellStyle name="쉼표 [0] 2 2 21" xfId="160"/>
    <cellStyle name="쉼표 [0] 2 2 21 2" xfId="813"/>
    <cellStyle name="쉼표 [0] 2 2 21 3" xfId="906"/>
    <cellStyle name="쉼표 [0] 2 2 21 4" xfId="973"/>
    <cellStyle name="쉼표 [0] 2 2 22" xfId="1021"/>
    <cellStyle name="쉼표 [0] 2 2 3" xfId="62"/>
    <cellStyle name="쉼표 [0] 2 2 3 10" xfId="170"/>
    <cellStyle name="쉼표 [0] 2 2 3 11" xfId="174"/>
    <cellStyle name="쉼표 [0] 2 2 3 12" xfId="794"/>
    <cellStyle name="쉼표 [0] 2 2 3 13" xfId="925"/>
    <cellStyle name="쉼표 [0] 2 2 3 14" xfId="954"/>
    <cellStyle name="쉼표 [0] 2 2 3 2" xfId="43"/>
    <cellStyle name="쉼표 [0] 2 2 3 3" xfId="178"/>
    <cellStyle name="쉼표 [0] 2 2 3 4" xfId="180"/>
    <cellStyle name="쉼표 [0] 2 2 3 5" xfId="182"/>
    <cellStyle name="쉼표 [0] 2 2 3 6" xfId="184"/>
    <cellStyle name="쉼표 [0] 2 2 3 7" xfId="186"/>
    <cellStyle name="쉼표 [0] 2 2 3 8" xfId="189"/>
    <cellStyle name="쉼표 [0] 2 2 3 9" xfId="192"/>
    <cellStyle name="쉼표 [0] 2 2 4" xfId="103"/>
    <cellStyle name="쉼표 [0] 2 2 4 10" xfId="104"/>
    <cellStyle name="쉼표 [0] 2 2 4 11" xfId="109"/>
    <cellStyle name="쉼표 [0] 2 2 4 12" xfId="807"/>
    <cellStyle name="쉼표 [0] 2 2 4 13" xfId="913"/>
    <cellStyle name="쉼표 [0] 2 2 4 14" xfId="967"/>
    <cellStyle name="쉼표 [0] 2 2 4 2" xfId="71"/>
    <cellStyle name="쉼표 [0] 2 2 4 3" xfId="115"/>
    <cellStyle name="쉼표 [0] 2 2 4 4" xfId="117"/>
    <cellStyle name="쉼표 [0] 2 2 4 5" xfId="119"/>
    <cellStyle name="쉼표 [0] 2 2 4 6" xfId="121"/>
    <cellStyle name="쉼표 [0] 2 2 4 7" xfId="123"/>
    <cellStyle name="쉼표 [0] 2 2 4 8" xfId="125"/>
    <cellStyle name="쉼표 [0] 2 2 4 9" xfId="127"/>
    <cellStyle name="쉼표 [0] 2 2 5" xfId="129"/>
    <cellStyle name="쉼표 [0] 2 2 6" xfId="131"/>
    <cellStyle name="쉼표 [0] 2 2 7" xfId="133"/>
    <cellStyle name="쉼표 [0] 2 2 8" xfId="2"/>
    <cellStyle name="쉼표 [0] 2 2 9" xfId="135"/>
    <cellStyle name="쉼표 [0] 2 3" xfId="76"/>
    <cellStyle name="쉼표 [0] 2 3 2" xfId="796"/>
    <cellStyle name="쉼표 [0] 2 3 3" xfId="923"/>
    <cellStyle name="쉼표 [0] 2 3 4" xfId="956"/>
    <cellStyle name="쉼표 [0] 2 4" xfId="12"/>
    <cellStyle name="쉼표 [0] 2 4 2" xfId="783"/>
    <cellStyle name="쉼표 [0] 2 4 3" xfId="936"/>
    <cellStyle name="쉼표 [0] 2 4 4" xfId="943"/>
    <cellStyle name="쉼표 [0] 2 5" xfId="195"/>
    <cellStyle name="쉼표 [0] 2 5 2" xfId="1022"/>
    <cellStyle name="쉼표 [0] 2 6" xfId="795"/>
    <cellStyle name="쉼표 [0] 2 7" xfId="924"/>
    <cellStyle name="쉼표 [0] 2 8" xfId="955"/>
    <cellStyle name="쉼표 [0] 3" xfId="196"/>
    <cellStyle name="쉼표 [0] 3 2" xfId="199"/>
    <cellStyle name="쉼표 [0] 3 2 2" xfId="1024"/>
    <cellStyle name="쉼표 [0] 3 3" xfId="1023"/>
    <cellStyle name="쉼표 [0] 4" xfId="200"/>
    <cellStyle name="쉼표 [0] 4 10" xfId="203"/>
    <cellStyle name="쉼표 [0] 4 11" xfId="204"/>
    <cellStyle name="쉼표 [0] 4 12" xfId="205"/>
    <cellStyle name="쉼표 [0] 4 13" xfId="206"/>
    <cellStyle name="쉼표 [0] 4 13 2" xfId="818"/>
    <cellStyle name="쉼표 [0] 4 13 3" xfId="901"/>
    <cellStyle name="쉼표 [0] 4 13 4" xfId="978"/>
    <cellStyle name="쉼표 [0] 4 14" xfId="207"/>
    <cellStyle name="쉼표 [0] 4 14 2" xfId="819"/>
    <cellStyle name="쉼표 [0] 4 14 3" xfId="900"/>
    <cellStyle name="쉼표 [0] 4 14 4" xfId="979"/>
    <cellStyle name="쉼표 [0] 4 15" xfId="28"/>
    <cellStyle name="쉼표 [0] 4 15 2" xfId="787"/>
    <cellStyle name="쉼표 [0] 4 15 3" xfId="931"/>
    <cellStyle name="쉼표 [0] 4 15 4" xfId="947"/>
    <cellStyle name="쉼표 [0] 4 16" xfId="22"/>
    <cellStyle name="쉼표 [0] 4 16 2" xfId="784"/>
    <cellStyle name="쉼표 [0] 4 16 3" xfId="935"/>
    <cellStyle name="쉼표 [0] 4 16 4" xfId="944"/>
    <cellStyle name="쉼표 [0] 4 17" xfId="33"/>
    <cellStyle name="쉼표 [0] 4 17 2" xfId="789"/>
    <cellStyle name="쉼표 [0] 4 17 3" xfId="932"/>
    <cellStyle name="쉼표 [0] 4 17 4" xfId="949"/>
    <cellStyle name="쉼표 [0] 4 18" xfId="34"/>
    <cellStyle name="쉼표 [0] 4 18 2" xfId="790"/>
    <cellStyle name="쉼표 [0] 4 18 3" xfId="930"/>
    <cellStyle name="쉼표 [0] 4 18 4" xfId="950"/>
    <cellStyle name="쉼표 [0] 4 19" xfId="37"/>
    <cellStyle name="쉼표 [0] 4 19 2" xfId="791"/>
    <cellStyle name="쉼표 [0] 4 19 3" xfId="928"/>
    <cellStyle name="쉼표 [0] 4 19 4" xfId="951"/>
    <cellStyle name="쉼표 [0] 4 2" xfId="208"/>
    <cellStyle name="쉼표 [0] 4 2 10" xfId="212"/>
    <cellStyle name="쉼표 [0] 4 2 11" xfId="213"/>
    <cellStyle name="쉼표 [0] 4 2 12" xfId="820"/>
    <cellStyle name="쉼표 [0] 4 2 13" xfId="899"/>
    <cellStyle name="쉼표 [0] 4 2 14" xfId="980"/>
    <cellStyle name="쉼표 [0] 4 2 2" xfId="214"/>
    <cellStyle name="쉼표 [0] 4 2 3" xfId="215"/>
    <cellStyle name="쉼표 [0] 4 2 4" xfId="216"/>
    <cellStyle name="쉼표 [0] 4 2 5" xfId="217"/>
    <cellStyle name="쉼표 [0] 4 2 6" xfId="4"/>
    <cellStyle name="쉼표 [0] 4 2 7" xfId="219"/>
    <cellStyle name="쉼표 [0] 4 2 8" xfId="221"/>
    <cellStyle name="쉼표 [0] 4 2 9" xfId="223"/>
    <cellStyle name="쉼표 [0] 4 20" xfId="29"/>
    <cellStyle name="쉼표 [0] 4 20 2" xfId="788"/>
    <cellStyle name="쉼표 [0] 4 20 3" xfId="929"/>
    <cellStyle name="쉼표 [0] 4 20 4" xfId="948"/>
    <cellStyle name="쉼표 [0] 4 21" xfId="23"/>
    <cellStyle name="쉼표 [0] 4 21 2" xfId="785"/>
    <cellStyle name="쉼표 [0] 4 21 3" xfId="934"/>
    <cellStyle name="쉼표 [0] 4 21 4" xfId="945"/>
    <cellStyle name="쉼표 [0] 4 3" xfId="224"/>
    <cellStyle name="쉼표 [0] 4 4" xfId="227"/>
    <cellStyle name="쉼표 [0] 4 5" xfId="230"/>
    <cellStyle name="쉼표 [0] 4 6" xfId="234"/>
    <cellStyle name="쉼표 [0] 4 7" xfId="238"/>
    <cellStyle name="쉼표 [0] 4 8" xfId="242"/>
    <cellStyle name="쉼표 [0] 4 9" xfId="245"/>
    <cellStyle name="쉼표 [0] 5" xfId="248"/>
    <cellStyle name="쉼표 [0] 5 10" xfId="56"/>
    <cellStyle name="쉼표 [0] 5 11" xfId="251"/>
    <cellStyle name="쉼표 [0] 5 12" xfId="252"/>
    <cellStyle name="쉼표 [0] 5 13" xfId="253"/>
    <cellStyle name="쉼표 [0] 5 13 2" xfId="821"/>
    <cellStyle name="쉼표 [0] 5 13 3" xfId="898"/>
    <cellStyle name="쉼표 [0] 5 13 4" xfId="981"/>
    <cellStyle name="쉼표 [0] 5 14" xfId="254"/>
    <cellStyle name="쉼표 [0] 5 14 2" xfId="822"/>
    <cellStyle name="쉼표 [0] 5 14 3" xfId="897"/>
    <cellStyle name="쉼표 [0] 5 14 4" xfId="982"/>
    <cellStyle name="쉼표 [0] 5 15" xfId="46"/>
    <cellStyle name="쉼표 [0] 5 15 2" xfId="792"/>
    <cellStyle name="쉼표 [0] 5 15 3" xfId="927"/>
    <cellStyle name="쉼표 [0] 5 15 4" xfId="952"/>
    <cellStyle name="쉼표 [0] 5 16" xfId="7"/>
    <cellStyle name="쉼표 [0] 5 16 2" xfId="782"/>
    <cellStyle name="쉼표 [0] 5 16 3" xfId="937"/>
    <cellStyle name="쉼표 [0] 5 16 4" xfId="942"/>
    <cellStyle name="쉼표 [0] 5 17" xfId="255"/>
    <cellStyle name="쉼표 [0] 5 17 2" xfId="823"/>
    <cellStyle name="쉼표 [0] 5 17 3" xfId="896"/>
    <cellStyle name="쉼표 [0] 5 17 4" xfId="983"/>
    <cellStyle name="쉼표 [0] 5 18" xfId="256"/>
    <cellStyle name="쉼표 [0] 5 18 2" xfId="824"/>
    <cellStyle name="쉼표 [0] 5 18 3" xfId="895"/>
    <cellStyle name="쉼표 [0] 5 18 4" xfId="984"/>
    <cellStyle name="쉼표 [0] 5 19" xfId="257"/>
    <cellStyle name="쉼표 [0] 5 19 2" xfId="825"/>
    <cellStyle name="쉼표 [0] 5 19 3" xfId="894"/>
    <cellStyle name="쉼표 [0] 5 19 4" xfId="985"/>
    <cellStyle name="쉼표 [0] 5 2" xfId="26"/>
    <cellStyle name="쉼표 [0] 5 2 10" xfId="258"/>
    <cellStyle name="쉼표 [0] 5 2 11" xfId="261"/>
    <cellStyle name="쉼표 [0] 5 2 12" xfId="786"/>
    <cellStyle name="쉼표 [0] 5 2 13" xfId="933"/>
    <cellStyle name="쉼표 [0] 5 2 14" xfId="946"/>
    <cellStyle name="쉼표 [0] 5 2 2" xfId="40"/>
    <cellStyle name="쉼표 [0] 5 2 3" xfId="264"/>
    <cellStyle name="쉼표 [0] 5 2 4" xfId="266"/>
    <cellStyle name="쉼표 [0] 5 2 5" xfId="268"/>
    <cellStyle name="쉼표 [0] 5 2 6" xfId="270"/>
    <cellStyle name="쉼표 [0] 5 2 7" xfId="272"/>
    <cellStyle name="쉼표 [0] 5 2 8" xfId="27"/>
    <cellStyle name="쉼표 [0] 5 2 9" xfId="274"/>
    <cellStyle name="쉼표 [0] 5 20" xfId="47"/>
    <cellStyle name="쉼표 [0] 5 20 2" xfId="793"/>
    <cellStyle name="쉼표 [0] 5 20 3" xfId="926"/>
    <cellStyle name="쉼표 [0] 5 20 4" xfId="953"/>
    <cellStyle name="쉼표 [0] 5 21" xfId="6"/>
    <cellStyle name="쉼표 [0] 5 21 2" xfId="781"/>
    <cellStyle name="쉼표 [0] 5 21 3" xfId="938"/>
    <cellStyle name="쉼표 [0] 5 21 4" xfId="941"/>
    <cellStyle name="쉼표 [0] 5 3" xfId="275"/>
    <cellStyle name="쉼표 [0] 5 4" xfId="276"/>
    <cellStyle name="쉼표 [0] 5 5" xfId="277"/>
    <cellStyle name="쉼표 [0] 5 6" xfId="278"/>
    <cellStyle name="쉼표 [0] 5 7" xfId="279"/>
    <cellStyle name="쉼표 [0] 5 8" xfId="280"/>
    <cellStyle name="쉼표 [0] 5 9" xfId="89"/>
    <cellStyle name="쉼표 [0] 6" xfId="281"/>
    <cellStyle name="쉼표 [0] 6 2" xfId="1025"/>
    <cellStyle name="쉼표 [0] 7" xfId="1020"/>
    <cellStyle name="연결된 셀 2" xfId="11"/>
    <cellStyle name="요약 2" xfId="284"/>
    <cellStyle name="입력 2" xfId="286"/>
    <cellStyle name="제목 1 2" xfId="287"/>
    <cellStyle name="제목 2 2" xfId="292"/>
    <cellStyle name="제목 3 2" xfId="293"/>
    <cellStyle name="제목 4 2" xfId="295"/>
    <cellStyle name="제목 5" xfId="30"/>
    <cellStyle name="좋음 2" xfId="297"/>
    <cellStyle name="출력 2" xfId="300"/>
    <cellStyle name="표준" xfId="0" builtinId="0"/>
    <cellStyle name="표준 10" xfId="303"/>
    <cellStyle name="표준 10 10" xfId="304"/>
    <cellStyle name="표준 10 11" xfId="307"/>
    <cellStyle name="표준 10 12" xfId="310"/>
    <cellStyle name="표준 10 13" xfId="53"/>
    <cellStyle name="표준 10 14" xfId="313"/>
    <cellStyle name="표준 10 15" xfId="17"/>
    <cellStyle name="표준 10 16" xfId="171"/>
    <cellStyle name="표준 10 17" xfId="175"/>
    <cellStyle name="표준 10 18" xfId="67"/>
    <cellStyle name="표준 10 19" xfId="197"/>
    <cellStyle name="표준 10 2" xfId="315"/>
    <cellStyle name="표준 10 20" xfId="16"/>
    <cellStyle name="표준 10 21" xfId="172"/>
    <cellStyle name="표준 10 22" xfId="176"/>
    <cellStyle name="표준 10 23" xfId="68"/>
    <cellStyle name="표준 10 24" xfId="198"/>
    <cellStyle name="표준 10 25" xfId="201"/>
    <cellStyle name="표준 10 26" xfId="249"/>
    <cellStyle name="표준 10 27" xfId="282"/>
    <cellStyle name="표준 10 28" xfId="316"/>
    <cellStyle name="표준 10 29" xfId="318"/>
    <cellStyle name="표준 10 3" xfId="320"/>
    <cellStyle name="표준 10 30" xfId="202"/>
    <cellStyle name="표준 10 31" xfId="250"/>
    <cellStyle name="표준 10 32" xfId="283"/>
    <cellStyle name="표준 10 33" xfId="317"/>
    <cellStyle name="표준 10 34" xfId="319"/>
    <cellStyle name="표준 10 35" xfId="321"/>
    <cellStyle name="표준 10 36" xfId="87"/>
    <cellStyle name="표준 10 37" xfId="322"/>
    <cellStyle name="표준 10 38" xfId="323"/>
    <cellStyle name="표준 10 39" xfId="324"/>
    <cellStyle name="표준 10 4" xfId="325"/>
    <cellStyle name="표준 10 5" xfId="326"/>
    <cellStyle name="표준 10 6" xfId="327"/>
    <cellStyle name="표준 10 7" xfId="328"/>
    <cellStyle name="표준 10 8" xfId="329"/>
    <cellStyle name="표준 10 9" xfId="294"/>
    <cellStyle name="표준 11" xfId="330"/>
    <cellStyle name="표준 11 10" xfId="332"/>
    <cellStyle name="표준 11 11" xfId="289"/>
    <cellStyle name="표준 11 12" xfId="335"/>
    <cellStyle name="표준 11 13" xfId="58"/>
    <cellStyle name="표준 11 14" xfId="338"/>
    <cellStyle name="표준 11 15" xfId="340"/>
    <cellStyle name="표준 11 16" xfId="105"/>
    <cellStyle name="표준 11 17" xfId="110"/>
    <cellStyle name="표준 11 18" xfId="343"/>
    <cellStyle name="표준 11 19" xfId="345"/>
    <cellStyle name="표준 11 2" xfId="347"/>
    <cellStyle name="표준 11 20" xfId="341"/>
    <cellStyle name="표준 11 21" xfId="106"/>
    <cellStyle name="표준 11 22" xfId="111"/>
    <cellStyle name="표준 11 23" xfId="344"/>
    <cellStyle name="표준 11 24" xfId="346"/>
    <cellStyle name="표준 11 25" xfId="349"/>
    <cellStyle name="표준 11 26" xfId="351"/>
    <cellStyle name="표준 11 27" xfId="353"/>
    <cellStyle name="표준 11 28" xfId="355"/>
    <cellStyle name="표준 11 29" xfId="357"/>
    <cellStyle name="표준 11 3" xfId="359"/>
    <cellStyle name="표준 11 30" xfId="350"/>
    <cellStyle name="표준 11 31" xfId="352"/>
    <cellStyle name="표준 11 32" xfId="354"/>
    <cellStyle name="표준 11 33" xfId="356"/>
    <cellStyle name="표준 11 34" xfId="358"/>
    <cellStyle name="표준 11 35" xfId="361"/>
    <cellStyle name="표준 11 36" xfId="362"/>
    <cellStyle name="표준 11 37" xfId="363"/>
    <cellStyle name="표준 11 38" xfId="364"/>
    <cellStyle name="표준 11 39" xfId="365"/>
    <cellStyle name="표준 11 4" xfId="366"/>
    <cellStyle name="표준 11 5" xfId="368"/>
    <cellStyle name="표준 11 6" xfId="370"/>
    <cellStyle name="표준 11 7" xfId="371"/>
    <cellStyle name="표준 11 8" xfId="372"/>
    <cellStyle name="표준 11 9" xfId="296"/>
    <cellStyle name="표준 12" xfId="373"/>
    <cellStyle name="표준 12 10" xfId="374"/>
    <cellStyle name="표준 12 11" xfId="378"/>
    <cellStyle name="표준 12 12" xfId="209"/>
    <cellStyle name="표준 12 13" xfId="225"/>
    <cellStyle name="표준 12 14" xfId="228"/>
    <cellStyle name="표준 12 15" xfId="231"/>
    <cellStyle name="표준 12 16" xfId="235"/>
    <cellStyle name="표준 12 17" xfId="239"/>
    <cellStyle name="표준 12 18" xfId="243"/>
    <cellStyle name="표준 12 19" xfId="246"/>
    <cellStyle name="표준 12 2" xfId="382"/>
    <cellStyle name="표준 12 20" xfId="232"/>
    <cellStyle name="표준 12 21" xfId="236"/>
    <cellStyle name="표준 12 22" xfId="240"/>
    <cellStyle name="표준 12 23" xfId="244"/>
    <cellStyle name="표준 12 24" xfId="247"/>
    <cellStyle name="표준 12 25" xfId="383"/>
    <cellStyle name="표준 12 26" xfId="385"/>
    <cellStyle name="표준 12 27" xfId="387"/>
    <cellStyle name="표준 12 28" xfId="389"/>
    <cellStyle name="표준 12 29" xfId="391"/>
    <cellStyle name="표준 12 3" xfId="393"/>
    <cellStyle name="표준 12 30" xfId="384"/>
    <cellStyle name="표준 12 31" xfId="386"/>
    <cellStyle name="표준 12 32" xfId="388"/>
    <cellStyle name="표준 12 33" xfId="390"/>
    <cellStyle name="표준 12 34" xfId="392"/>
    <cellStyle name="표준 12 35" xfId="394"/>
    <cellStyle name="표준 12 36" xfId="31"/>
    <cellStyle name="표준 12 37" xfId="32"/>
    <cellStyle name="표준 12 38" xfId="13"/>
    <cellStyle name="표준 12 39" xfId="35"/>
    <cellStyle name="표준 12 4" xfId="395"/>
    <cellStyle name="표준 12 5" xfId="396"/>
    <cellStyle name="표준 12 6" xfId="397"/>
    <cellStyle name="표준 12 7" xfId="398"/>
    <cellStyle name="표준 12 8" xfId="399"/>
    <cellStyle name="표준 12 9" xfId="400"/>
    <cellStyle name="표준 13" xfId="348"/>
    <cellStyle name="표준 13 10" xfId="44"/>
    <cellStyle name="표준 13 11" xfId="179"/>
    <cellStyle name="표준 13 12" xfId="181"/>
    <cellStyle name="표준 13 13" xfId="183"/>
    <cellStyle name="표준 13 14" xfId="185"/>
    <cellStyle name="표준 13 15" xfId="187"/>
    <cellStyle name="표준 13 16" xfId="190"/>
    <cellStyle name="표준 13 17" xfId="193"/>
    <cellStyle name="표준 13 18" xfId="401"/>
    <cellStyle name="표준 13 19" xfId="403"/>
    <cellStyle name="표준 13 2" xfId="406"/>
    <cellStyle name="표준 13 20" xfId="188"/>
    <cellStyle name="표준 13 21" xfId="191"/>
    <cellStyle name="표준 13 22" xfId="194"/>
    <cellStyle name="표준 13 23" xfId="402"/>
    <cellStyle name="표준 13 24" xfId="404"/>
    <cellStyle name="표준 13 25" xfId="140"/>
    <cellStyle name="표준 13 26" xfId="409"/>
    <cellStyle name="표준 13 27" xfId="411"/>
    <cellStyle name="표준 13 28" xfId="413"/>
    <cellStyle name="표준 13 29" xfId="415"/>
    <cellStyle name="표준 13 3" xfId="82"/>
    <cellStyle name="표준 13 30" xfId="141"/>
    <cellStyle name="표준 13 31" xfId="410"/>
    <cellStyle name="표준 13 32" xfId="412"/>
    <cellStyle name="표준 13 33" xfId="414"/>
    <cellStyle name="표준 13 34" xfId="416"/>
    <cellStyle name="표준 13 35" xfId="417"/>
    <cellStyle name="표준 13 36" xfId="418"/>
    <cellStyle name="표준 13 37" xfId="419"/>
    <cellStyle name="표준 13 38" xfId="166"/>
    <cellStyle name="표준 13 39" xfId="168"/>
    <cellStyle name="표준 13 4" xfId="421"/>
    <cellStyle name="표준 13 5" xfId="425"/>
    <cellStyle name="표준 13 6" xfId="429"/>
    <cellStyle name="표준 13 7" xfId="433"/>
    <cellStyle name="표준 13 8" xfId="375"/>
    <cellStyle name="표준 13 9" xfId="379"/>
    <cellStyle name="표준 14" xfId="360"/>
    <cellStyle name="표준 14 10" xfId="21"/>
    <cellStyle name="표준 14 11" xfId="19"/>
    <cellStyle name="표준 14 12" xfId="436"/>
    <cellStyle name="표준 14 13" xfId="437"/>
    <cellStyle name="표준 14 14" xfId="438"/>
    <cellStyle name="표준 14 15" xfId="439"/>
    <cellStyle name="표준 14 16" xfId="441"/>
    <cellStyle name="표준 14 17" xfId="298"/>
    <cellStyle name="표준 14 18" xfId="443"/>
    <cellStyle name="표준 14 19" xfId="445"/>
    <cellStyle name="표준 14 2" xfId="36"/>
    <cellStyle name="표준 14 20" xfId="440"/>
    <cellStyle name="표준 14 21" xfId="442"/>
    <cellStyle name="표준 14 22" xfId="299"/>
    <cellStyle name="표준 14 23" xfId="444"/>
    <cellStyle name="표준 14 24" xfId="446"/>
    <cellStyle name="표준 14 25" xfId="259"/>
    <cellStyle name="표준 14 26" xfId="262"/>
    <cellStyle name="표준 14 27" xfId="305"/>
    <cellStyle name="표준 14 28" xfId="308"/>
    <cellStyle name="표준 14 29" xfId="311"/>
    <cellStyle name="표준 14 3" xfId="38"/>
    <cellStyle name="표준 14 30" xfId="260"/>
    <cellStyle name="표준 14 31" xfId="263"/>
    <cellStyle name="표준 14 32" xfId="306"/>
    <cellStyle name="표준 14 33" xfId="309"/>
    <cellStyle name="표준 14 34" xfId="312"/>
    <cellStyle name="표준 14 35" xfId="54"/>
    <cellStyle name="표준 14 36" xfId="314"/>
    <cellStyle name="표준 14 37" xfId="15"/>
    <cellStyle name="표준 14 38" xfId="173"/>
    <cellStyle name="표준 14 39" xfId="177"/>
    <cellStyle name="표준 14 4" xfId="41"/>
    <cellStyle name="표준 14 5" xfId="265"/>
    <cellStyle name="표준 14 6" xfId="267"/>
    <cellStyle name="표준 14 7" xfId="269"/>
    <cellStyle name="표준 14 8" xfId="271"/>
    <cellStyle name="표준 14 9" xfId="273"/>
    <cellStyle name="표준 15" xfId="367"/>
    <cellStyle name="표준 15 10" xfId="447"/>
    <cellStyle name="표준 15 11" xfId="448"/>
    <cellStyle name="표준 15 12" xfId="449"/>
    <cellStyle name="표준 15 13" xfId="450"/>
    <cellStyle name="표준 15 14" xfId="451"/>
    <cellStyle name="표준 15 15" xfId="452"/>
    <cellStyle name="표준 15 16" xfId="454"/>
    <cellStyle name="표준 15 17" xfId="456"/>
    <cellStyle name="표준 15 18" xfId="301"/>
    <cellStyle name="표준 15 19" xfId="458"/>
    <cellStyle name="표준 15 2" xfId="460"/>
    <cellStyle name="표준 15 20" xfId="453"/>
    <cellStyle name="표준 15 21" xfId="455"/>
    <cellStyle name="표준 15 22" xfId="457"/>
    <cellStyle name="표준 15 23" xfId="302"/>
    <cellStyle name="표준 15 24" xfId="459"/>
    <cellStyle name="표준 15 25" xfId="461"/>
    <cellStyle name="표준 15 26" xfId="24"/>
    <cellStyle name="표준 15 27" xfId="333"/>
    <cellStyle name="표준 15 28" xfId="290"/>
    <cellStyle name="표준 15 29" xfId="336"/>
    <cellStyle name="표준 15 3" xfId="463"/>
    <cellStyle name="표준 15 30" xfId="462"/>
    <cellStyle name="표준 15 31" xfId="25"/>
    <cellStyle name="표준 15 32" xfId="334"/>
    <cellStyle name="표준 15 33" xfId="291"/>
    <cellStyle name="표준 15 34" xfId="337"/>
    <cellStyle name="표준 15 35" xfId="60"/>
    <cellStyle name="표준 15 36" xfId="339"/>
    <cellStyle name="표준 15 37" xfId="342"/>
    <cellStyle name="표준 15 38" xfId="108"/>
    <cellStyle name="표준 15 39" xfId="113"/>
    <cellStyle name="표준 15 4" xfId="464"/>
    <cellStyle name="표준 15 5" xfId="285"/>
    <cellStyle name="표준 15 6" xfId="465"/>
    <cellStyle name="표준 15 7" xfId="466"/>
    <cellStyle name="표준 15 8" xfId="467"/>
    <cellStyle name="표준 15 9" xfId="468"/>
    <cellStyle name="표준 16" xfId="369"/>
    <cellStyle name="표준 16 10" xfId="469"/>
    <cellStyle name="표준 16 11" xfId="470"/>
    <cellStyle name="표준 16 12" xfId="471"/>
    <cellStyle name="표준 16 13" xfId="472"/>
    <cellStyle name="표준 16 14" xfId="473"/>
    <cellStyle name="표준 16 15" xfId="475"/>
    <cellStyle name="표준 16 16" xfId="407"/>
    <cellStyle name="표준 16 17" xfId="83"/>
    <cellStyle name="표준 16 18" xfId="422"/>
    <cellStyle name="표준 16 19" xfId="426"/>
    <cellStyle name="표준 16 2" xfId="476"/>
    <cellStyle name="표준 16 20" xfId="474"/>
    <cellStyle name="표준 16 21" xfId="408"/>
    <cellStyle name="표준 16 22" xfId="84"/>
    <cellStyle name="표준 16 23" xfId="423"/>
    <cellStyle name="표준 16 24" xfId="427"/>
    <cellStyle name="표준 16 25" xfId="430"/>
    <cellStyle name="표준 16 26" xfId="434"/>
    <cellStyle name="표준 16 27" xfId="376"/>
    <cellStyle name="표준 16 28" xfId="380"/>
    <cellStyle name="표준 16 29" xfId="210"/>
    <cellStyle name="표준 16 3" xfId="477"/>
    <cellStyle name="표준 16 30" xfId="431"/>
    <cellStyle name="표준 16 31" xfId="435"/>
    <cellStyle name="표준 16 32" xfId="377"/>
    <cellStyle name="표준 16 33" xfId="381"/>
    <cellStyle name="표준 16 34" xfId="211"/>
    <cellStyle name="표준 16 35" xfId="226"/>
    <cellStyle name="표준 16 36" xfId="229"/>
    <cellStyle name="표준 16 37" xfId="233"/>
    <cellStyle name="표준 16 38" xfId="237"/>
    <cellStyle name="표준 16 39" xfId="241"/>
    <cellStyle name="표준 16 4" xfId="478"/>
    <cellStyle name="표준 16 5" xfId="479"/>
    <cellStyle name="표준 16 6" xfId="480"/>
    <cellStyle name="표준 16 7" xfId="9"/>
    <cellStyle name="표준 16 8" xfId="481"/>
    <cellStyle name="표준 16 9" xfId="482"/>
    <cellStyle name="표준 17" xfId="483"/>
    <cellStyle name="표준 17 10" xfId="484"/>
    <cellStyle name="표준 17 11" xfId="485"/>
    <cellStyle name="표준 17 12" xfId="486"/>
    <cellStyle name="표준 17 13" xfId="487"/>
    <cellStyle name="표준 17 14" xfId="488"/>
    <cellStyle name="표준 17 15" xfId="489"/>
    <cellStyle name="표준 17 16" xfId="491"/>
    <cellStyle name="표준 17 17" xfId="493"/>
    <cellStyle name="표준 17 18" xfId="495"/>
    <cellStyle name="표준 17 19" xfId="497"/>
    <cellStyle name="표준 17 2" xfId="499"/>
    <cellStyle name="표준 17 20" xfId="490"/>
    <cellStyle name="표준 17 21" xfId="492"/>
    <cellStyle name="표준 17 22" xfId="494"/>
    <cellStyle name="표준 17 23" xfId="496"/>
    <cellStyle name="표준 17 24" xfId="498"/>
    <cellStyle name="표준 17 25" xfId="500"/>
    <cellStyle name="표준 17 26" xfId="14"/>
    <cellStyle name="표준 17 27" xfId="502"/>
    <cellStyle name="표준 17 28" xfId="503"/>
    <cellStyle name="표준 17 29" xfId="504"/>
    <cellStyle name="표준 17 3" xfId="505"/>
    <cellStyle name="표준 17 30" xfId="501"/>
    <cellStyle name="표준 17 4" xfId="506"/>
    <cellStyle name="표준 17 5" xfId="507"/>
    <cellStyle name="표준 17 6" xfId="508"/>
    <cellStyle name="표준 17 7" xfId="509"/>
    <cellStyle name="표준 17 8" xfId="510"/>
    <cellStyle name="표준 17 9" xfId="511"/>
    <cellStyle name="표준 2" xfId="512"/>
    <cellStyle name="표준 2 2" xfId="513"/>
    <cellStyle name="표준 2 2 10" xfId="514"/>
    <cellStyle name="표준 2 2 11" xfId="515"/>
    <cellStyle name="표준 2 2 12" xfId="826"/>
    <cellStyle name="표준 2 2 13" xfId="893"/>
    <cellStyle name="표준 2 2 14" xfId="986"/>
    <cellStyle name="표준 2 2 2" xfId="516"/>
    <cellStyle name="표준 2 2 2 10" xfId="517"/>
    <cellStyle name="표준 2 2 2 11" xfId="518"/>
    <cellStyle name="표준 2 2 2 12" xfId="519"/>
    <cellStyle name="표준 2 2 2 13" xfId="520"/>
    <cellStyle name="표준 2 2 2 13 2" xfId="827"/>
    <cellStyle name="표준 2 2 2 13 3" xfId="892"/>
    <cellStyle name="표준 2 2 2 13 4" xfId="987"/>
    <cellStyle name="표준 2 2 2 14" xfId="521"/>
    <cellStyle name="표준 2 2 2 14 2" xfId="828"/>
    <cellStyle name="표준 2 2 2 14 3" xfId="891"/>
    <cellStyle name="표준 2 2 2 14 4" xfId="988"/>
    <cellStyle name="표준 2 2 2 15" xfId="522"/>
    <cellStyle name="표준 2 2 2 15 2" xfId="829"/>
    <cellStyle name="표준 2 2 2 15 3" xfId="890"/>
    <cellStyle name="표준 2 2 2 15 4" xfId="989"/>
    <cellStyle name="표준 2 2 2 16" xfId="524"/>
    <cellStyle name="표준 2 2 2 16 2" xfId="831"/>
    <cellStyle name="표준 2 2 2 16 3" xfId="863"/>
    <cellStyle name="표준 2 2 2 16 4" xfId="991"/>
    <cellStyle name="표준 2 2 2 17" xfId="526"/>
    <cellStyle name="표준 2 2 2 17 2" xfId="833"/>
    <cellStyle name="표준 2 2 2 17 3" xfId="887"/>
    <cellStyle name="표준 2 2 2 17 4" xfId="993"/>
    <cellStyle name="표준 2 2 2 18" xfId="527"/>
    <cellStyle name="표준 2 2 2 18 2" xfId="834"/>
    <cellStyle name="표준 2 2 2 18 3" xfId="886"/>
    <cellStyle name="표준 2 2 2 18 4" xfId="994"/>
    <cellStyle name="표준 2 2 2 19" xfId="528"/>
    <cellStyle name="표준 2 2 2 19 2" xfId="835"/>
    <cellStyle name="표준 2 2 2 19 3" xfId="883"/>
    <cellStyle name="표준 2 2 2 19 4" xfId="995"/>
    <cellStyle name="표준 2 2 2 2" xfId="529"/>
    <cellStyle name="표준 2 2 2 2 10" xfId="530"/>
    <cellStyle name="표준 2 2 2 2 11" xfId="531"/>
    <cellStyle name="표준 2 2 2 2 12" xfId="836"/>
    <cellStyle name="표준 2 2 2 2 13" xfId="882"/>
    <cellStyle name="표준 2 2 2 2 14" xfId="996"/>
    <cellStyle name="표준 2 2 2 2 2" xfId="532"/>
    <cellStyle name="표준 2 2 2 2 3" xfId="533"/>
    <cellStyle name="표준 2 2 2 2 4" xfId="534"/>
    <cellStyle name="표준 2 2 2 2 5" xfId="535"/>
    <cellStyle name="표준 2 2 2 2 6" xfId="536"/>
    <cellStyle name="표준 2 2 2 2 7" xfId="537"/>
    <cellStyle name="표준 2 2 2 2 8" xfId="538"/>
    <cellStyle name="표준 2 2 2 2 9" xfId="539"/>
    <cellStyle name="표준 2 2 2 20" xfId="523"/>
    <cellStyle name="표준 2 2 2 20 2" xfId="830"/>
    <cellStyle name="표준 2 2 2 20 3" xfId="889"/>
    <cellStyle name="표준 2 2 2 20 4" xfId="990"/>
    <cellStyle name="표준 2 2 2 21" xfId="525"/>
    <cellStyle name="표준 2 2 2 21 2" xfId="832"/>
    <cellStyle name="표준 2 2 2 21 3" xfId="888"/>
    <cellStyle name="표준 2 2 2 21 4" xfId="992"/>
    <cellStyle name="표준 2 2 2 3" xfId="540"/>
    <cellStyle name="표준 2 2 2 4" xfId="541"/>
    <cellStyle name="표준 2 2 2 5" xfId="542"/>
    <cellStyle name="표준 2 2 2 6" xfId="543"/>
    <cellStyle name="표준 2 2 2 7" xfId="544"/>
    <cellStyle name="표준 2 2 2 8" xfId="545"/>
    <cellStyle name="표준 2 2 2 9" xfId="546"/>
    <cellStyle name="표준 2 2 3" xfId="547"/>
    <cellStyle name="표준 2 2 4" xfId="548"/>
    <cellStyle name="표준 2 2 5" xfId="549"/>
    <cellStyle name="표준 2 2 6" xfId="550"/>
    <cellStyle name="표준 2 2 7" xfId="551"/>
    <cellStyle name="표준 2 2 8" xfId="552"/>
    <cellStyle name="표준 2 2 9" xfId="553"/>
    <cellStyle name="표준 2 3" xfId="554"/>
    <cellStyle name="표준 2 3 2" xfId="837"/>
    <cellStyle name="표준 2 3 3" xfId="860"/>
    <cellStyle name="표준 2 3 4" xfId="997"/>
    <cellStyle name="표준 2 4" xfId="555"/>
    <cellStyle name="표준 2 4 2" xfId="838"/>
    <cellStyle name="표준 2 4 3" xfId="885"/>
    <cellStyle name="표준 2 4 4" xfId="998"/>
    <cellStyle name="표준 2 5" xfId="556"/>
    <cellStyle name="표준 2 5 2" xfId="839"/>
    <cellStyle name="표준 2 5 3" xfId="884"/>
    <cellStyle name="표준 2 5 4" xfId="999"/>
    <cellStyle name="표준 2 6" xfId="939"/>
    <cellStyle name="표준 2 7" xfId="940"/>
    <cellStyle name="표준 3" xfId="557"/>
    <cellStyle name="표준 3 10" xfId="558"/>
    <cellStyle name="표준 3 11" xfId="559"/>
    <cellStyle name="표준 3 12" xfId="560"/>
    <cellStyle name="표준 3 13" xfId="561"/>
    <cellStyle name="표준 3 14" xfId="562"/>
    <cellStyle name="표준 3 15" xfId="563"/>
    <cellStyle name="표준 3 16" xfId="565"/>
    <cellStyle name="표준 3 17" xfId="567"/>
    <cellStyle name="표준 3 18" xfId="569"/>
    <cellStyle name="표준 3 19" xfId="571"/>
    <cellStyle name="표준 3 2" xfId="573"/>
    <cellStyle name="표준 3 2 10" xfId="574"/>
    <cellStyle name="표준 3 2 11" xfId="575"/>
    <cellStyle name="표준 3 2 2" xfId="576"/>
    <cellStyle name="표준 3 2 3" xfId="577"/>
    <cellStyle name="표준 3 2 4" xfId="578"/>
    <cellStyle name="표준 3 2 5" xfId="579"/>
    <cellStyle name="표준 3 2 6" xfId="580"/>
    <cellStyle name="표준 3 2 7" xfId="581"/>
    <cellStyle name="표준 3 2 8" xfId="582"/>
    <cellStyle name="표준 3 2 9" xfId="583"/>
    <cellStyle name="표준 3 20" xfId="564"/>
    <cellStyle name="표준 3 21" xfId="566"/>
    <cellStyle name="표준 3 22" xfId="568"/>
    <cellStyle name="표준 3 23" xfId="570"/>
    <cellStyle name="표준 3 24" xfId="572"/>
    <cellStyle name="표준 3 25" xfId="584"/>
    <cellStyle name="표준 3 26" xfId="586"/>
    <cellStyle name="표준 3 27" xfId="588"/>
    <cellStyle name="표준 3 28" xfId="590"/>
    <cellStyle name="표준 3 29" xfId="592"/>
    <cellStyle name="표준 3 3" xfId="594"/>
    <cellStyle name="표준 3 30" xfId="585"/>
    <cellStyle name="표준 3 31" xfId="587"/>
    <cellStyle name="표준 3 32" xfId="589"/>
    <cellStyle name="표준 3 33" xfId="591"/>
    <cellStyle name="표준 3 34" xfId="593"/>
    <cellStyle name="표준 3 35" xfId="595"/>
    <cellStyle name="표준 3 36" xfId="597"/>
    <cellStyle name="표준 3 37" xfId="599"/>
    <cellStyle name="표준 3 38" xfId="601"/>
    <cellStyle name="표준 3 39" xfId="603"/>
    <cellStyle name="표준 3 4" xfId="605"/>
    <cellStyle name="표준 3 40" xfId="596"/>
    <cellStyle name="표준 3 41" xfId="598"/>
    <cellStyle name="표준 3 42" xfId="600"/>
    <cellStyle name="표준 3 43" xfId="602"/>
    <cellStyle name="표준 3 44" xfId="604"/>
    <cellStyle name="표준 3 45" xfId="606"/>
    <cellStyle name="표준 3 46" xfId="608"/>
    <cellStyle name="표준 3 47" xfId="610"/>
    <cellStyle name="표준 3 48" xfId="331"/>
    <cellStyle name="표준 3 49" xfId="288"/>
    <cellStyle name="표준 3 5" xfId="611"/>
    <cellStyle name="표준 3 50" xfId="607"/>
    <cellStyle name="표준 3 51" xfId="609"/>
    <cellStyle name="표준 3 6" xfId="612"/>
    <cellStyle name="표준 3 7" xfId="613"/>
    <cellStyle name="표준 3 8" xfId="614"/>
    <cellStyle name="표준 3 9" xfId="615"/>
    <cellStyle name="표준 4" xfId="616"/>
    <cellStyle name="표준 4 10" xfId="617"/>
    <cellStyle name="표준 4 11" xfId="618"/>
    <cellStyle name="표준 4 12" xfId="619"/>
    <cellStyle name="표준 4 13" xfId="620"/>
    <cellStyle name="표준 4 13 2" xfId="840"/>
    <cellStyle name="표준 4 13 3" xfId="868"/>
    <cellStyle name="표준 4 13 4" xfId="1000"/>
    <cellStyle name="표준 4 14" xfId="621"/>
    <cellStyle name="표준 4 14 2" xfId="841"/>
    <cellStyle name="표준 4 14 3" xfId="867"/>
    <cellStyle name="표준 4 14 4" xfId="1001"/>
    <cellStyle name="표준 4 15" xfId="622"/>
    <cellStyle name="표준 4 15 2" xfId="842"/>
    <cellStyle name="표준 4 15 3" xfId="866"/>
    <cellStyle name="표준 4 15 4" xfId="1002"/>
    <cellStyle name="표준 4 16" xfId="624"/>
    <cellStyle name="표준 4 16 2" xfId="844"/>
    <cellStyle name="표준 4 16 3" xfId="865"/>
    <cellStyle name="표준 4 16 4" xfId="1004"/>
    <cellStyle name="표준 4 17" xfId="626"/>
    <cellStyle name="표준 4 17 2" xfId="846"/>
    <cellStyle name="표준 4 17 3" xfId="881"/>
    <cellStyle name="표준 4 17 4" xfId="1006"/>
    <cellStyle name="표준 4 18" xfId="627"/>
    <cellStyle name="표준 4 18 2" xfId="847"/>
    <cellStyle name="표준 4 18 3" xfId="880"/>
    <cellStyle name="표준 4 18 4" xfId="1007"/>
    <cellStyle name="표준 4 19" xfId="628"/>
    <cellStyle name="표준 4 19 2" xfId="848"/>
    <cellStyle name="표준 4 19 3" xfId="879"/>
    <cellStyle name="표준 4 19 4" xfId="1008"/>
    <cellStyle name="표준 4 2" xfId="629"/>
    <cellStyle name="표준 4 2 10" xfId="630"/>
    <cellStyle name="표준 4 2 11" xfId="631"/>
    <cellStyle name="표준 4 2 12" xfId="849"/>
    <cellStyle name="표준 4 2 13" xfId="878"/>
    <cellStyle name="표준 4 2 14" xfId="1009"/>
    <cellStyle name="표준 4 2 2" xfId="632"/>
    <cellStyle name="표준 4 2 3" xfId="633"/>
    <cellStyle name="표준 4 2 4" xfId="405"/>
    <cellStyle name="표준 4 2 5" xfId="80"/>
    <cellStyle name="표준 4 2 6" xfId="420"/>
    <cellStyle name="표준 4 2 7" xfId="424"/>
    <cellStyle name="표준 4 2 8" xfId="428"/>
    <cellStyle name="표준 4 2 9" xfId="432"/>
    <cellStyle name="표준 4 20" xfId="623"/>
    <cellStyle name="표준 4 20 2" xfId="843"/>
    <cellStyle name="표준 4 20 3" xfId="862"/>
    <cellStyle name="표준 4 20 4" xfId="1003"/>
    <cellStyle name="표준 4 21" xfId="625"/>
    <cellStyle name="표준 4 21 2" xfId="845"/>
    <cellStyle name="표준 4 21 3" xfId="864"/>
    <cellStyle name="표준 4 21 4" xfId="1005"/>
    <cellStyle name="표준 4 3" xfId="634"/>
    <cellStyle name="표준 4 4" xfId="635"/>
    <cellStyle name="표준 4 5" xfId="636"/>
    <cellStyle name="표준 4 6" xfId="637"/>
    <cellStyle name="표준 4 7" xfId="638"/>
    <cellStyle name="표준 4 8" xfId="639"/>
    <cellStyle name="표준 4 9" xfId="640"/>
    <cellStyle name="표준 5" xfId="641"/>
    <cellStyle name="표준 5 10" xfId="642"/>
    <cellStyle name="표준 5 11" xfId="643"/>
    <cellStyle name="표준 5 12" xfId="644"/>
    <cellStyle name="표준 5 13" xfId="645"/>
    <cellStyle name="표준 5 13 2" xfId="850"/>
    <cellStyle name="표준 5 13 3" xfId="877"/>
    <cellStyle name="표준 5 13 4" xfId="1010"/>
    <cellStyle name="표준 5 14" xfId="646"/>
    <cellStyle name="표준 5 14 2" xfId="851"/>
    <cellStyle name="표준 5 14 3" xfId="876"/>
    <cellStyle name="표준 5 14 4" xfId="1011"/>
    <cellStyle name="표준 5 15" xfId="647"/>
    <cellStyle name="표준 5 15 2" xfId="852"/>
    <cellStyle name="표준 5 15 3" xfId="875"/>
    <cellStyle name="표준 5 15 4" xfId="1012"/>
    <cellStyle name="표준 5 16" xfId="649"/>
    <cellStyle name="표준 5 16 2" xfId="854"/>
    <cellStyle name="표준 5 16 3" xfId="873"/>
    <cellStyle name="표준 5 16 4" xfId="1014"/>
    <cellStyle name="표준 5 17" xfId="651"/>
    <cellStyle name="표준 5 17 2" xfId="856"/>
    <cellStyle name="표준 5 17 3" xfId="872"/>
    <cellStyle name="표준 5 17 4" xfId="1016"/>
    <cellStyle name="표준 5 18" xfId="652"/>
    <cellStyle name="표준 5 18 2" xfId="857"/>
    <cellStyle name="표준 5 18 3" xfId="871"/>
    <cellStyle name="표준 5 18 4" xfId="1017"/>
    <cellStyle name="표준 5 19" xfId="653"/>
    <cellStyle name="표준 5 19 2" xfId="858"/>
    <cellStyle name="표준 5 19 3" xfId="870"/>
    <cellStyle name="표준 5 19 4" xfId="1018"/>
    <cellStyle name="표준 5 2" xfId="654"/>
    <cellStyle name="표준 5 20" xfId="648"/>
    <cellStyle name="표준 5 20 2" xfId="853"/>
    <cellStyle name="표준 5 20 3" xfId="874"/>
    <cellStyle name="표준 5 20 4" xfId="1013"/>
    <cellStyle name="표준 5 21" xfId="650"/>
    <cellStyle name="표준 5 21 2" xfId="855"/>
    <cellStyle name="표준 5 21 3" xfId="861"/>
    <cellStyle name="표준 5 21 4" xfId="1015"/>
    <cellStyle name="표준 5 3" xfId="655"/>
    <cellStyle name="표준 5 3 10" xfId="656"/>
    <cellStyle name="표준 5 3 11" xfId="657"/>
    <cellStyle name="표준 5 3 12" xfId="859"/>
    <cellStyle name="표준 5 3 13" xfId="869"/>
    <cellStyle name="표준 5 3 14" xfId="1019"/>
    <cellStyle name="표준 5 3 2" xfId="658"/>
    <cellStyle name="표준 5 3 3" xfId="659"/>
    <cellStyle name="표준 5 3 4" xfId="660"/>
    <cellStyle name="표준 5 3 5" xfId="661"/>
    <cellStyle name="표준 5 3 6" xfId="662"/>
    <cellStyle name="표준 5 3 7" xfId="138"/>
    <cellStyle name="표준 5 3 8" xfId="663"/>
    <cellStyle name="표준 5 3 9" xfId="664"/>
    <cellStyle name="표준 5 4" xfId="665"/>
    <cellStyle name="표준 5 5" xfId="666"/>
    <cellStyle name="표준 5 6" xfId="667"/>
    <cellStyle name="표준 5 7" xfId="668"/>
    <cellStyle name="표준 5 8" xfId="669"/>
    <cellStyle name="표준 5 9" xfId="670"/>
    <cellStyle name="표준 6" xfId="671"/>
    <cellStyle name="표준 6 2" xfId="5"/>
    <cellStyle name="표준 6 3" xfId="218"/>
    <cellStyle name="표준 6 4" xfId="220"/>
    <cellStyle name="표준 6 5" xfId="222"/>
    <cellStyle name="표준 6 6" xfId="672"/>
    <cellStyle name="표준 7" xfId="673"/>
    <cellStyle name="표준 7 10" xfId="674"/>
    <cellStyle name="표준 7 11" xfId="675"/>
    <cellStyle name="표준 7 12" xfId="676"/>
    <cellStyle name="표준 7 13" xfId="677"/>
    <cellStyle name="표준 7 14" xfId="678"/>
    <cellStyle name="표준 7 15" xfId="679"/>
    <cellStyle name="표준 7 16" xfId="681"/>
    <cellStyle name="표준 7 17" xfId="683"/>
    <cellStyle name="표준 7 18" xfId="685"/>
    <cellStyle name="표준 7 19" xfId="687"/>
    <cellStyle name="표준 7 2" xfId="689"/>
    <cellStyle name="표준 7 20" xfId="680"/>
    <cellStyle name="표준 7 21" xfId="682"/>
    <cellStyle name="표준 7 22" xfId="684"/>
    <cellStyle name="표준 7 23" xfId="686"/>
    <cellStyle name="표준 7 24" xfId="688"/>
    <cellStyle name="표준 7 25" xfId="690"/>
    <cellStyle name="표준 7 26" xfId="692"/>
    <cellStyle name="표준 7 27" xfId="693"/>
    <cellStyle name="표준 7 28" xfId="49"/>
    <cellStyle name="표준 7 29" xfId="694"/>
    <cellStyle name="표준 7 3" xfId="695"/>
    <cellStyle name="표준 7 30" xfId="691"/>
    <cellStyle name="표준 7 4" xfId="696"/>
    <cellStyle name="표준 7 5" xfId="697"/>
    <cellStyle name="표준 7 6" xfId="698"/>
    <cellStyle name="표준 7 7" xfId="699"/>
    <cellStyle name="표준 7 8" xfId="700"/>
    <cellStyle name="표준 7 9" xfId="701"/>
    <cellStyle name="표준 8" xfId="702"/>
    <cellStyle name="표준 8 10" xfId="703"/>
    <cellStyle name="표준 8 11" xfId="704"/>
    <cellStyle name="표준 8 12" xfId="705"/>
    <cellStyle name="표준 8 13" xfId="706"/>
    <cellStyle name="표준 8 14" xfId="707"/>
    <cellStyle name="표준 8 15" xfId="708"/>
    <cellStyle name="표준 8 16" xfId="710"/>
    <cellStyle name="표준 8 17" xfId="712"/>
    <cellStyle name="표준 8 18" xfId="714"/>
    <cellStyle name="표준 8 19" xfId="716"/>
    <cellStyle name="표준 8 2" xfId="718"/>
    <cellStyle name="표준 8 20" xfId="709"/>
    <cellStyle name="표준 8 21" xfId="711"/>
    <cellStyle name="표준 8 22" xfId="713"/>
    <cellStyle name="표준 8 23" xfId="715"/>
    <cellStyle name="표준 8 24" xfId="717"/>
    <cellStyle name="표준 8 25" xfId="719"/>
    <cellStyle name="표준 8 26" xfId="721"/>
    <cellStyle name="표준 8 27" xfId="723"/>
    <cellStyle name="표준 8 28" xfId="78"/>
    <cellStyle name="표준 8 29" xfId="725"/>
    <cellStyle name="표준 8 3" xfId="727"/>
    <cellStyle name="표준 8 30" xfId="720"/>
    <cellStyle name="표준 8 31" xfId="722"/>
    <cellStyle name="표준 8 32" xfId="724"/>
    <cellStyle name="표준 8 33" xfId="77"/>
    <cellStyle name="표준 8 34" xfId="726"/>
    <cellStyle name="표준 8 35" xfId="728"/>
    <cellStyle name="표준 8 36" xfId="729"/>
    <cellStyle name="표준 8 37" xfId="730"/>
    <cellStyle name="표준 8 38" xfId="731"/>
    <cellStyle name="표준 8 39" xfId="732"/>
    <cellStyle name="표준 8 4" xfId="733"/>
    <cellStyle name="표준 8 5" xfId="734"/>
    <cellStyle name="표준 8 6" xfId="735"/>
    <cellStyle name="표준 8 7" xfId="736"/>
    <cellStyle name="표준 8 8" xfId="737"/>
    <cellStyle name="표준 8 9" xfId="738"/>
    <cellStyle name="표준 9" xfId="739"/>
    <cellStyle name="표준 9 10" xfId="740"/>
    <cellStyle name="표준 9 11" xfId="741"/>
    <cellStyle name="표준 9 12" xfId="742"/>
    <cellStyle name="표준 9 13" xfId="743"/>
    <cellStyle name="표준 9 14" xfId="744"/>
    <cellStyle name="표준 9 15" xfId="745"/>
    <cellStyle name="표준 9 16" xfId="747"/>
    <cellStyle name="표준 9 17" xfId="749"/>
    <cellStyle name="표준 9 18" xfId="751"/>
    <cellStyle name="표준 9 19" xfId="753"/>
    <cellStyle name="표준 9 2" xfId="755"/>
    <cellStyle name="표준 9 20" xfId="746"/>
    <cellStyle name="표준 9 21" xfId="748"/>
    <cellStyle name="표준 9 22" xfId="750"/>
    <cellStyle name="표준 9 23" xfId="752"/>
    <cellStyle name="표준 9 24" xfId="754"/>
    <cellStyle name="표준 9 25" xfId="756"/>
    <cellStyle name="표준 9 26" xfId="758"/>
    <cellStyle name="표준 9 27" xfId="760"/>
    <cellStyle name="표준 9 28" xfId="762"/>
    <cellStyle name="표준 9 29" xfId="764"/>
    <cellStyle name="표준 9 3" xfId="766"/>
    <cellStyle name="표준 9 30" xfId="757"/>
    <cellStyle name="표준 9 31" xfId="759"/>
    <cellStyle name="표준 9 32" xfId="761"/>
    <cellStyle name="표준 9 33" xfId="763"/>
    <cellStyle name="표준 9 34" xfId="765"/>
    <cellStyle name="표준 9 35" xfId="767"/>
    <cellStyle name="표준 9 36" xfId="768"/>
    <cellStyle name="표준 9 37" xfId="769"/>
    <cellStyle name="표준 9 38" xfId="770"/>
    <cellStyle name="표준 9 39" xfId="771"/>
    <cellStyle name="표준 9 4" xfId="772"/>
    <cellStyle name="표준 9 5" xfId="773"/>
    <cellStyle name="표준 9 6" xfId="774"/>
    <cellStyle name="표준 9 7" xfId="775"/>
    <cellStyle name="표준 9 8" xfId="776"/>
    <cellStyle name="표준 9 9" xfId="777"/>
    <cellStyle name="표준_cover" xfId="778"/>
    <cellStyle name="하이퍼링크 2" xfId="779"/>
    <cellStyle name="하이퍼링크 2 2" xfId="78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44824</xdr:colOff>
      <xdr:row>4</xdr:row>
      <xdr:rowOff>22412</xdr:rowOff>
    </xdr:from>
    <xdr:to>
      <xdr:col>3</xdr:col>
      <xdr:colOff>1483099</xdr:colOff>
      <xdr:row>4</xdr:row>
      <xdr:rowOff>1098737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274050" y="1165225"/>
          <a:ext cx="1438275" cy="107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44824</xdr:colOff>
      <xdr:row>5</xdr:row>
      <xdr:rowOff>0</xdr:rowOff>
    </xdr:from>
    <xdr:to>
      <xdr:col>3</xdr:col>
      <xdr:colOff>1483099</xdr:colOff>
      <xdr:row>5</xdr:row>
      <xdr:rowOff>1076325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8274050" y="2279650"/>
          <a:ext cx="1438275" cy="107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44824</xdr:colOff>
      <xdr:row>10</xdr:row>
      <xdr:rowOff>22412</xdr:rowOff>
    </xdr:from>
    <xdr:to>
      <xdr:col>3</xdr:col>
      <xdr:colOff>1483099</xdr:colOff>
      <xdr:row>10</xdr:row>
      <xdr:rowOff>1098737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8274050" y="16767175"/>
          <a:ext cx="1438275" cy="107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44824</xdr:colOff>
      <xdr:row>11</xdr:row>
      <xdr:rowOff>22412</xdr:rowOff>
    </xdr:from>
    <xdr:to>
      <xdr:col>3</xdr:col>
      <xdr:colOff>1483099</xdr:colOff>
      <xdr:row>11</xdr:row>
      <xdr:rowOff>1098737</xdr:rowOff>
    </xdr:to>
    <xdr:pic>
      <xdr:nvPicPr>
        <xdr:cNvPr id="2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8274050" y="17881600"/>
          <a:ext cx="1438275" cy="107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44824</xdr:colOff>
      <xdr:row>12</xdr:row>
      <xdr:rowOff>22412</xdr:rowOff>
    </xdr:from>
    <xdr:to>
      <xdr:col>3</xdr:col>
      <xdr:colOff>1483099</xdr:colOff>
      <xdr:row>12</xdr:row>
      <xdr:rowOff>1098737</xdr:rowOff>
    </xdr:to>
    <xdr:pic>
      <xdr:nvPicPr>
        <xdr:cNvPr id="1049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8274050" y="23453725"/>
          <a:ext cx="1438275" cy="107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44824</xdr:colOff>
      <xdr:row>13</xdr:row>
      <xdr:rowOff>22412</xdr:rowOff>
    </xdr:from>
    <xdr:to>
      <xdr:col>3</xdr:col>
      <xdr:colOff>1483099</xdr:colOff>
      <xdr:row>13</xdr:row>
      <xdr:rowOff>1098737</xdr:rowOff>
    </xdr:to>
    <xdr:pic>
      <xdr:nvPicPr>
        <xdr:cNvPr id="1050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8274050" y="24568150"/>
          <a:ext cx="1438275" cy="107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44824</xdr:colOff>
      <xdr:row>14</xdr:row>
      <xdr:rowOff>22412</xdr:rowOff>
    </xdr:from>
    <xdr:to>
      <xdr:col>3</xdr:col>
      <xdr:colOff>1483099</xdr:colOff>
      <xdr:row>14</xdr:row>
      <xdr:rowOff>1098737</xdr:rowOff>
    </xdr:to>
    <xdr:pic>
      <xdr:nvPicPr>
        <xdr:cNvPr id="1051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6723530" y="10421471"/>
          <a:ext cx="1438275" cy="107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44823</xdr:colOff>
      <xdr:row>17</xdr:row>
      <xdr:rowOff>22412</xdr:rowOff>
    </xdr:from>
    <xdr:to>
      <xdr:col>3</xdr:col>
      <xdr:colOff>1483098</xdr:colOff>
      <xdr:row>17</xdr:row>
      <xdr:rowOff>1098737</xdr:rowOff>
    </xdr:to>
    <xdr:pic>
      <xdr:nvPicPr>
        <xdr:cNvPr id="11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723529" y="13772030"/>
          <a:ext cx="1438275" cy="107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44824</xdr:colOff>
      <xdr:row>7</xdr:row>
      <xdr:rowOff>44824</xdr:rowOff>
    </xdr:from>
    <xdr:to>
      <xdr:col>3</xdr:col>
      <xdr:colOff>1483099</xdr:colOff>
      <xdr:row>8</xdr:row>
      <xdr:rowOff>11767</xdr:rowOff>
    </xdr:to>
    <xdr:pic>
      <xdr:nvPicPr>
        <xdr:cNvPr id="1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723530" y="3787589"/>
          <a:ext cx="1438275" cy="107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67236</xdr:colOff>
      <xdr:row>6</xdr:row>
      <xdr:rowOff>22412</xdr:rowOff>
    </xdr:from>
    <xdr:to>
      <xdr:col>3</xdr:col>
      <xdr:colOff>1487486</xdr:colOff>
      <xdr:row>6</xdr:row>
      <xdr:rowOff>1086971</xdr:rowOff>
    </xdr:to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744261" y="2660837"/>
          <a:ext cx="1420250" cy="10645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="85" zoomScaleNormal="85" workbookViewId="0">
      <selection activeCell="A2" sqref="A2:G2"/>
    </sheetView>
  </sheetViews>
  <sheetFormatPr defaultRowHeight="30" customHeight="1"/>
  <cols>
    <col min="1" max="1" width="5.25" style="1" customWidth="1"/>
    <col min="2" max="2" width="43.375" style="1" customWidth="1"/>
    <col min="3" max="3" width="39" style="1" customWidth="1"/>
    <col min="4" max="4" width="20" style="1" customWidth="1"/>
    <col min="5" max="5" width="20" style="6" customWidth="1"/>
    <col min="6" max="6" width="17.5" style="2" customWidth="1"/>
    <col min="7" max="7" width="22.625" style="1" customWidth="1"/>
    <col min="8" max="16384" width="9" style="1"/>
  </cols>
  <sheetData>
    <row r="1" spans="1:8" ht="30" customHeight="1">
      <c r="B1" s="45"/>
      <c r="C1" s="46" t="s">
        <v>37</v>
      </c>
      <c r="D1" s="45" t="s">
        <v>38</v>
      </c>
      <c r="E1" s="45"/>
      <c r="F1" s="45"/>
      <c r="G1" s="45"/>
    </row>
    <row r="2" spans="1:8" ht="30" customHeight="1">
      <c r="A2" s="44">
        <v>44182</v>
      </c>
      <c r="B2" s="44"/>
      <c r="C2" s="44"/>
      <c r="D2" s="44"/>
      <c r="E2" s="44"/>
      <c r="F2" s="44"/>
      <c r="G2" s="44"/>
    </row>
    <row r="3" spans="1:8" s="15" customFormat="1" ht="30" customHeight="1">
      <c r="A3" s="47" t="s">
        <v>36</v>
      </c>
      <c r="B3" s="47"/>
      <c r="C3" s="47"/>
      <c r="D3" s="47"/>
      <c r="E3" s="47"/>
      <c r="F3" s="47"/>
      <c r="G3" s="47"/>
    </row>
    <row r="4" spans="1:8" ht="30" customHeight="1">
      <c r="A4" s="12" t="s">
        <v>0</v>
      </c>
      <c r="B4" s="16" t="s">
        <v>1</v>
      </c>
      <c r="C4" s="16" t="s">
        <v>2</v>
      </c>
      <c r="D4" s="16" t="s">
        <v>3</v>
      </c>
      <c r="E4" s="17" t="s">
        <v>5</v>
      </c>
      <c r="F4" s="18" t="s">
        <v>4</v>
      </c>
      <c r="G4" s="19" t="s">
        <v>6</v>
      </c>
    </row>
    <row r="5" spans="1:8" ht="87.75" customHeight="1">
      <c r="A5" s="11">
        <v>1</v>
      </c>
      <c r="B5" s="14" t="s">
        <v>8</v>
      </c>
      <c r="C5" s="20" t="s">
        <v>25</v>
      </c>
      <c r="D5" s="20"/>
      <c r="E5" s="8">
        <v>3</v>
      </c>
      <c r="F5" s="3">
        <v>15.18</v>
      </c>
      <c r="G5" s="9">
        <f>SUM(E5*F5)</f>
        <v>45.54</v>
      </c>
    </row>
    <row r="6" spans="1:8" ht="87.75" customHeight="1">
      <c r="A6" s="11">
        <v>2</v>
      </c>
      <c r="B6" s="33" t="s">
        <v>9</v>
      </c>
      <c r="C6" s="36" t="s">
        <v>26</v>
      </c>
      <c r="D6" s="34" t="s">
        <v>7</v>
      </c>
      <c r="E6" s="25">
        <v>15</v>
      </c>
      <c r="F6" s="35">
        <v>8.67</v>
      </c>
      <c r="G6" s="9">
        <f t="shared" ref="G6:G18" si="0">SUM(E6*F6)</f>
        <v>130.05000000000001</v>
      </c>
    </row>
    <row r="7" spans="1:8" s="39" customFormat="1" ht="87.75" customHeight="1">
      <c r="A7" s="37">
        <v>3</v>
      </c>
      <c r="B7" s="22" t="s">
        <v>10</v>
      </c>
      <c r="C7" s="27" t="s">
        <v>27</v>
      </c>
      <c r="D7" s="27"/>
      <c r="E7" s="26">
        <v>10</v>
      </c>
      <c r="F7" s="24">
        <v>16.399999999999999</v>
      </c>
      <c r="G7" s="38">
        <f t="shared" ref="G7" si="1">SUM(E7*F7)</f>
        <v>164</v>
      </c>
    </row>
    <row r="8" spans="1:8" ht="87.75" customHeight="1">
      <c r="A8" s="11">
        <v>4</v>
      </c>
      <c r="B8" s="28" t="s">
        <v>11</v>
      </c>
      <c r="C8" s="27" t="s">
        <v>28</v>
      </c>
      <c r="E8" s="26">
        <v>3</v>
      </c>
      <c r="F8" s="35">
        <v>68.790000000000006</v>
      </c>
      <c r="G8" s="9">
        <f t="shared" si="0"/>
        <v>206.37</v>
      </c>
    </row>
    <row r="9" spans="1:8" ht="87.75" customHeight="1">
      <c r="A9" s="11">
        <v>5</v>
      </c>
      <c r="B9" s="14" t="s">
        <v>12</v>
      </c>
      <c r="C9" s="20" t="s">
        <v>29</v>
      </c>
      <c r="D9" s="20"/>
      <c r="E9" s="8">
        <v>3</v>
      </c>
      <c r="F9" s="13">
        <v>6.96</v>
      </c>
      <c r="G9" s="9">
        <f t="shared" si="0"/>
        <v>20.88</v>
      </c>
    </row>
    <row r="10" spans="1:8" s="42" customFormat="1" ht="87.75" customHeight="1">
      <c r="A10" s="11">
        <v>6</v>
      </c>
      <c r="B10" s="22" t="s">
        <v>13</v>
      </c>
      <c r="C10" s="27" t="s">
        <v>30</v>
      </c>
      <c r="D10" s="40"/>
      <c r="E10" s="43">
        <v>3</v>
      </c>
      <c r="F10" s="24">
        <v>7.33</v>
      </c>
      <c r="G10" s="9">
        <f t="shared" si="0"/>
        <v>21.990000000000002</v>
      </c>
      <c r="H10" s="41"/>
    </row>
    <row r="11" spans="1:8" ht="87.75" customHeight="1">
      <c r="A11" s="11">
        <v>7</v>
      </c>
      <c r="B11" s="14" t="s">
        <v>14</v>
      </c>
      <c r="C11" s="20" t="s">
        <v>31</v>
      </c>
      <c r="D11" s="20"/>
      <c r="E11" s="8">
        <v>5</v>
      </c>
      <c r="F11" s="13">
        <v>10.02</v>
      </c>
      <c r="G11" s="9">
        <f t="shared" si="0"/>
        <v>50.099999999999994</v>
      </c>
    </row>
    <row r="12" spans="1:8" ht="87.75" customHeight="1">
      <c r="A12" s="11">
        <v>8</v>
      </c>
      <c r="B12" s="14" t="s">
        <v>15</v>
      </c>
      <c r="C12" s="20" t="s">
        <v>32</v>
      </c>
      <c r="D12" s="20"/>
      <c r="E12" s="8">
        <v>5</v>
      </c>
      <c r="F12" s="13">
        <v>22.58</v>
      </c>
      <c r="G12" s="9">
        <f t="shared" si="0"/>
        <v>112.89999999999999</v>
      </c>
    </row>
    <row r="13" spans="1:8" ht="87.75" customHeight="1">
      <c r="A13" s="11">
        <v>9</v>
      </c>
      <c r="B13" s="14" t="s">
        <v>16</v>
      </c>
      <c r="C13" s="20" t="s">
        <v>33</v>
      </c>
      <c r="D13" s="20"/>
      <c r="E13" s="8">
        <v>5</v>
      </c>
      <c r="F13" s="13">
        <v>32.630000000000003</v>
      </c>
      <c r="G13" s="9">
        <f t="shared" si="0"/>
        <v>163.15</v>
      </c>
    </row>
    <row r="14" spans="1:8" ht="87.75" customHeight="1">
      <c r="A14" s="11">
        <v>10</v>
      </c>
      <c r="B14" s="14" t="s">
        <v>17</v>
      </c>
      <c r="C14" s="20" t="s">
        <v>24</v>
      </c>
      <c r="D14" s="20"/>
      <c r="E14" s="8">
        <v>5</v>
      </c>
      <c r="F14" s="13">
        <v>30.04</v>
      </c>
      <c r="G14" s="9">
        <f t="shared" si="0"/>
        <v>150.19999999999999</v>
      </c>
    </row>
    <row r="15" spans="1:8" ht="87.75" customHeight="1">
      <c r="A15" s="11">
        <v>11</v>
      </c>
      <c r="B15" s="14" t="s">
        <v>18</v>
      </c>
      <c r="C15" s="20" t="s">
        <v>23</v>
      </c>
      <c r="D15" s="20"/>
      <c r="E15" s="8">
        <v>3</v>
      </c>
      <c r="F15" s="13">
        <v>74.010000000000005</v>
      </c>
      <c r="G15" s="9">
        <f t="shared" si="0"/>
        <v>222.03000000000003</v>
      </c>
    </row>
    <row r="16" spans="1:8" ht="88.5" customHeight="1">
      <c r="A16" s="11">
        <v>12</v>
      </c>
      <c r="B16" s="22" t="s">
        <v>19</v>
      </c>
      <c r="C16" s="22" t="s">
        <v>34</v>
      </c>
      <c r="D16" s="23"/>
      <c r="E16" s="21">
        <v>15</v>
      </c>
      <c r="F16" s="24">
        <v>28.15</v>
      </c>
      <c r="G16" s="9">
        <f t="shared" si="0"/>
        <v>422.25</v>
      </c>
    </row>
    <row r="17" spans="1:7" ht="88.5" customHeight="1">
      <c r="A17" s="11">
        <v>13</v>
      </c>
      <c r="B17" s="22" t="s">
        <v>20</v>
      </c>
      <c r="C17" s="22" t="s">
        <v>35</v>
      </c>
      <c r="D17" s="23"/>
      <c r="E17" s="21">
        <v>15</v>
      </c>
      <c r="F17" s="24">
        <v>24.33</v>
      </c>
      <c r="G17" s="9">
        <f t="shared" si="0"/>
        <v>364.95</v>
      </c>
    </row>
    <row r="18" spans="1:7" ht="88.5" customHeight="1">
      <c r="A18" s="11">
        <v>14</v>
      </c>
      <c r="B18" s="30" t="s">
        <v>21</v>
      </c>
      <c r="C18" s="31" t="s">
        <v>22</v>
      </c>
      <c r="E18" s="29">
        <v>5</v>
      </c>
      <c r="F18" s="32">
        <v>4.62</v>
      </c>
      <c r="G18" s="9">
        <f t="shared" si="0"/>
        <v>23.1</v>
      </c>
    </row>
    <row r="19" spans="1:7" ht="30" customHeight="1">
      <c r="A19" s="10"/>
      <c r="B19" s="10"/>
      <c r="C19" s="10"/>
      <c r="D19" s="10"/>
      <c r="E19" s="7">
        <f>SUM(E5:E18)</f>
        <v>95</v>
      </c>
      <c r="F19" s="4"/>
      <c r="G19" s="5">
        <f>SUM(G5:G18)</f>
        <v>2097.5099999999998</v>
      </c>
    </row>
  </sheetData>
  <mergeCells count="1">
    <mergeCell ref="A2:G2"/>
  </mergeCells>
  <phoneticPr fontId="3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CMS-L400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user</cp:lastModifiedBy>
  <dcterms:created xsi:type="dcterms:W3CDTF">2017-02-24T03:52:00Z</dcterms:created>
  <dcterms:modified xsi:type="dcterms:W3CDTF">2020-12-23T04:51:17Z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